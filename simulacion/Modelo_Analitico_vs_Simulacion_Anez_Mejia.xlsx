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ANALITICO" sheetId="2" state="visible" r:id="rId2"/>
    <sheet xmlns:r="http://schemas.openxmlformats.org/officeDocument/2006/relationships" name="SIMULACION" sheetId="3" state="visible" r:id="rId3"/>
    <sheet xmlns:r="http://schemas.openxmlformats.org/officeDocument/2006/relationships" name="COMPARATIVA" sheetId="4" state="visible" r:id="rId4"/>
    <sheet xmlns:r="http://schemas.openxmlformats.org/officeDocument/2006/relationships" name="VENTAJAS_LIMIT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&quot; %&quot;"/>
  </numFmts>
  <fonts count="18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i val="1"/>
      <color rgb="005D6D7E"/>
      <sz val="11"/>
    </font>
    <font>
      <name val="Calibri"/>
      <b val="1"/>
      <color rgb="00FFFFFF"/>
      <sz val="12"/>
    </font>
    <font>
      <name val="Calibri"/>
      <b val="1"/>
      <color rgb="005D6D7E"/>
      <sz val="11"/>
    </font>
    <font>
      <name val="Calibri"/>
      <sz val="11"/>
    </font>
    <font>
      <name val="Calibri"/>
      <sz val="10"/>
    </font>
    <font>
      <name val="Calibri"/>
      <b val="1"/>
      <color rgb="001B4F72"/>
      <sz val="14"/>
    </font>
    <font>
      <name val="Calibri"/>
      <i val="1"/>
      <color rgb="005D6D7E"/>
      <sz val="10"/>
    </font>
    <font>
      <name val="Calibri"/>
      <b val="1"/>
      <color rgb="00FFFFFF"/>
      <sz val="11"/>
    </font>
    <font>
      <name val="Calibri"/>
      <b val="1"/>
      <color rgb="001B4F72"/>
      <sz val="11"/>
    </font>
    <font>
      <name val="Calibri"/>
      <b val="1"/>
      <sz val="11"/>
    </font>
    <font>
      <b val="1"/>
      <color rgb="00FFFFFF"/>
    </font>
    <font>
      <b val="1"/>
    </font>
    <font>
      <b val="1"/>
      <color rgb="001B4F72"/>
    </font>
    <font>
      <i val="1"/>
      <sz val="10"/>
    </font>
    <font>
      <b val="1"/>
      <color rgb="001E8449"/>
    </font>
    <font>
      <sz val="1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EF9E7"/>
      </patternFill>
    </fill>
    <fill>
      <patternFill patternType="solid">
        <fgColor rgb="001F618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4" borderId="1" pivotButton="0" quotePrefix="0" xfId="0"/>
    <xf numFmtId="0" fontId="1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2" fontId="13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2" fontId="16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5F5E3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Analítico vs Simulado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'COMPARATIVA'!$A$4:$A$9</f>
            </numRef>
          </cat>
          <val>
            <numRef>
              <f>'COMPARATIVA'!$B$4:$B$9</f>
            </numRef>
          </val>
        </ser>
        <ser>
          <idx val="1"/>
          <order val="1"/>
          <tx>
            <strRef>
              <f>'COMPARATIVA'!C3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'COMPARATIVA'!$A$4:$A$9</f>
            </numRef>
          </cat>
          <val>
            <numRef>
              <f>'COMPARATIVA'!$C$4:$C$9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Indicador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UNIVERSIDAD DE LA GUAJIRA</t>
        </is>
      </c>
    </row>
    <row r="2">
      <c r="A2" s="2" t="inlineStr">
        <is>
          <t>Facultad de Ingeniería — Programa de Ingeniería de Sistemas — Materia: Simulación</t>
        </is>
      </c>
    </row>
    <row r="3">
      <c r="A3" s="3" t="inlineStr">
        <is>
          <t>MODELO ANALÍTICO vs. MODELO DE SIMULACIÓN  •  Sistema de Cola M/M/1 – Cafetería Universitaria</t>
        </is>
      </c>
    </row>
    <row r="4">
      <c r="A4" s="4" t="inlineStr">
        <is>
          <t>Estudiantes: Juan Carlos Añez Ahumada  •  Jorge Mejía   |   Riohacha, 2026</t>
        </is>
      </c>
    </row>
    <row r="6">
      <c r="A6" s="5" t="inlineStr">
        <is>
          <t>λ (llegadas/hora) = 20</t>
        </is>
      </c>
    </row>
    <row r="7">
      <c r="A7" s="5" t="inlineStr">
        <is>
          <t>μ (servicio/hora) = 25</t>
        </is>
      </c>
    </row>
    <row r="8">
      <c r="A8" s="5" t="inlineStr">
        <is>
          <t>Servidores c = 1</t>
        </is>
      </c>
    </row>
    <row r="9">
      <c r="A9" s="5" t="inlineStr">
        <is>
          <t>ρ = 0,80 → sistema estable, ocioso 20 %</t>
        </is>
      </c>
    </row>
    <row r="11" ht="75" customHeight="1">
      <c r="A11" s="6" t="inlineStr">
        <is>
          <t>Cómo usar este libro:
1) Hoja ANALITICO: cambie las celdas amarillas (λ, μ) y todo se recalcula.
2) Hoja SIMULACION: tabla de 100 clientes con fórmulas; U1 y U2 vienen fijos (semilla) para verificar. Para experimentar cámbielos por =ALEATORIO() y pulse F9.
3) Hoja COMPARATIVA: contraste analítico vs. simulado con error % y gráfico.
4) Hoja VENTAJAS_LIMITACIONES: matriz para la exposición de 3 min.</t>
        </is>
      </c>
    </row>
    <row r="12"/>
    <row r="13"/>
    <row r="14"/>
    <row r="15"/>
  </sheetData>
  <mergeCells count="9">
    <mergeCell ref="A2:F2"/>
    <mergeCell ref="A1:F1"/>
    <mergeCell ref="A9:F9"/>
    <mergeCell ref="A8:F8"/>
    <mergeCell ref="A6:F6"/>
    <mergeCell ref="A4:F4"/>
    <mergeCell ref="A3:F3"/>
    <mergeCell ref="A7:F7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8" customWidth="1" min="4" max="4"/>
  </cols>
  <sheetData>
    <row r="1">
      <c r="A1" s="7" t="inlineStr">
        <is>
          <t>MODELO ANALÍTICO M/M/1 — Cálculos con fórmulas Excel</t>
        </is>
      </c>
    </row>
    <row r="2">
      <c r="A2" s="8" t="inlineStr">
        <is>
          <t>Cambie solo las celdas amarillas. Todo lo demás se recalcula solo.</t>
        </is>
      </c>
    </row>
    <row r="4">
      <c r="A4" s="9" t="inlineStr">
        <is>
          <t>Parámetro / Indicador</t>
        </is>
      </c>
      <c r="B4" s="9" t="inlineStr">
        <is>
          <t>Símbolo</t>
        </is>
      </c>
      <c r="C4" s="9" t="inlineStr">
        <is>
          <t>Valor</t>
        </is>
      </c>
      <c r="D4" s="9" t="inlineStr">
        <is>
          <t>Fórmula Excel usada</t>
        </is>
      </c>
    </row>
    <row r="5">
      <c r="A5" s="10" t="inlineStr">
        <is>
          <t>Tasa de llegada (por hora)</t>
        </is>
      </c>
      <c r="B5" s="10" t="inlineStr">
        <is>
          <t>λ</t>
        </is>
      </c>
      <c r="C5" s="11" t="n">
        <v>20</v>
      </c>
      <c r="D5" s="10" t="inlineStr">
        <is>
          <t>Dato de entrada</t>
        </is>
      </c>
    </row>
    <row r="6">
      <c r="A6" s="10" t="inlineStr">
        <is>
          <t>Tasa de servicio (por hora)</t>
        </is>
      </c>
      <c r="B6" s="10" t="inlineStr">
        <is>
          <t>μ</t>
        </is>
      </c>
      <c r="C6" s="11" t="n">
        <v>25</v>
      </c>
      <c r="D6" s="10" t="inlineStr">
        <is>
          <t>Dato de entrada</t>
        </is>
      </c>
    </row>
    <row r="7">
      <c r="A7" s="10" t="inlineStr">
        <is>
          <t>N.º servidores</t>
        </is>
      </c>
      <c r="B7" s="10" t="inlineStr">
        <is>
          <t>c</t>
        </is>
      </c>
      <c r="C7" s="11" t="n">
        <v>1</v>
      </c>
      <c r="D7" s="10" t="inlineStr">
        <is>
          <t>Dato de entrada</t>
        </is>
      </c>
    </row>
    <row r="8">
      <c r="A8" s="10" t="inlineStr">
        <is>
          <t>Intensidad de tráfico</t>
        </is>
      </c>
      <c r="B8" s="10" t="inlineStr">
        <is>
          <t>ρ = λ/μ</t>
        </is>
      </c>
      <c r="C8" s="12">
        <f>C5/C6</f>
        <v/>
      </c>
      <c r="D8" s="10">
        <f>C5/C6</f>
        <v/>
      </c>
    </row>
    <row r="9">
      <c r="A9" s="10" t="inlineStr">
        <is>
          <t>Prob. sistema vacío</t>
        </is>
      </c>
      <c r="B9" s="10" t="inlineStr">
        <is>
          <t>P0 = 1−ρ</t>
        </is>
      </c>
      <c r="C9" s="12">
        <f>1-C8</f>
        <v/>
      </c>
      <c r="D9" s="10">
        <f>1-C8</f>
        <v/>
      </c>
    </row>
    <row r="10">
      <c r="A10" s="10" t="inlineStr">
        <is>
          <t>N.º medio en sistema</t>
        </is>
      </c>
      <c r="B10" s="10" t="inlineStr">
        <is>
          <t>L = ρ/(1−ρ)</t>
        </is>
      </c>
      <c r="C10" s="12">
        <f>C8/(1-C8)</f>
        <v/>
      </c>
      <c r="D10" s="10">
        <f>C8/(1-C8)</f>
        <v/>
      </c>
    </row>
    <row r="11">
      <c r="A11" s="10" t="inlineStr">
        <is>
          <t>N.º medio en cola</t>
        </is>
      </c>
      <c r="B11" s="10" t="inlineStr">
        <is>
          <t>Lq = ρ²/(1−ρ)</t>
        </is>
      </c>
      <c r="C11" s="12">
        <f>C8^2/(1-C8)</f>
        <v/>
      </c>
      <c r="D11" s="10">
        <f>C8^2/(1-C8)</f>
        <v/>
      </c>
    </row>
    <row r="12">
      <c r="A12" s="10" t="inlineStr">
        <is>
          <t>Tiempo en sistema (h)</t>
        </is>
      </c>
      <c r="B12" s="10" t="inlineStr">
        <is>
          <t>W = 1/(μ−λ)</t>
        </is>
      </c>
      <c r="C12" s="12">
        <f>1/(C6-C5)</f>
        <v/>
      </c>
      <c r="D12" s="10">
        <f>1/(C6-C5)</f>
        <v/>
      </c>
    </row>
    <row r="13">
      <c r="A13" s="10" t="inlineStr">
        <is>
          <t>Tiempo en cola (h)</t>
        </is>
      </c>
      <c r="B13" s="10" t="inlineStr">
        <is>
          <t>Wq = ρ/(μ−λ)</t>
        </is>
      </c>
      <c r="C13" s="12">
        <f>C8/(C6-C5)</f>
        <v/>
      </c>
      <c r="D13" s="10">
        <f>C8/(C6-C5)</f>
        <v/>
      </c>
    </row>
    <row r="14">
      <c r="A14" s="10" t="inlineStr">
        <is>
          <t>Tiempo en sistema (min)</t>
        </is>
      </c>
      <c r="B14" s="10" t="inlineStr">
        <is>
          <t>W×60</t>
        </is>
      </c>
      <c r="C14" s="12">
        <f>C12*60</f>
        <v/>
      </c>
      <c r="D14" s="10">
        <f>C12*60</f>
        <v/>
      </c>
    </row>
    <row r="15">
      <c r="A15" s="10" t="inlineStr">
        <is>
          <t>Tiempo en cola (min)</t>
        </is>
      </c>
      <c r="B15" s="10" t="inlineStr">
        <is>
          <t>Wq×60</t>
        </is>
      </c>
      <c r="C15" s="12">
        <f>C13*60</f>
        <v/>
      </c>
      <c r="D15" s="10">
        <f>C13*60</f>
        <v/>
      </c>
    </row>
    <row r="16">
      <c r="A16" s="10" t="inlineStr">
        <is>
          <t>Prob. de esperar</t>
        </is>
      </c>
      <c r="B16" s="10" t="inlineStr">
        <is>
          <t>Pw = ρ</t>
        </is>
      </c>
      <c r="C16" s="12">
        <f>C8</f>
        <v/>
      </c>
      <c r="D16" s="10">
        <f>C8</f>
        <v/>
      </c>
    </row>
    <row r="17">
      <c r="A17" s="10" t="inlineStr">
        <is>
          <t>P(N&gt;3)</t>
        </is>
      </c>
      <c r="B17" s="10" t="inlineStr">
        <is>
          <t>ρ^4</t>
        </is>
      </c>
      <c r="C17" s="12">
        <f>C8^4</f>
        <v/>
      </c>
      <c r="D17" s="10">
        <f>C8^4</f>
        <v/>
      </c>
    </row>
    <row r="19">
      <c r="A19" t="inlineStr">
        <is>
          <t>Estado:</t>
        </is>
      </c>
      <c r="B19" s="13">
        <f>SI(C8&lt;1,"✓ ESTABLE (ρ&lt;1)","✗ INESTABLE")</f>
        <v/>
      </c>
    </row>
    <row r="20">
      <c r="A20" t="inlineStr">
        <is>
          <t>Verificación Little L=λW:</t>
        </is>
      </c>
      <c r="B20">
        <f>C5*C12</f>
        <v/>
      </c>
      <c r="C20" t="inlineStr">
        <is>
          <t>debe ≈ C10</t>
        </is>
      </c>
    </row>
    <row r="21">
      <c r="A21" t="inlineStr">
        <is>
          <t>Verificación Little Lq=λWq:</t>
        </is>
      </c>
      <c r="B21">
        <f>C5*C13</f>
        <v/>
      </c>
      <c r="C21" t="inlineStr">
        <is>
          <t>debe ≈ C11</t>
        </is>
      </c>
    </row>
  </sheetData>
  <mergeCells count="2">
    <mergeCell ref="A1:D1"/>
    <mergeCell ref="A2:D2"/>
  </mergeCells>
  <conditionalFormatting sqref="C8">
    <cfRule type="cellIs" priority="1" operator="lessThan" dxfId="0">
      <formula>1</formula>
    </cfRule>
    <cfRule type="cellIs" priority="2" operator="greaterThanOrEqual" dxfId="1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  <col width="13" customWidth="1" min="5" max="5"/>
    <col width="11" customWidth="1" min="6" max="6"/>
    <col width="14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3" max="13"/>
    <col width="12" customWidth="1" min="14" max="14"/>
  </cols>
  <sheetData>
    <row r="1">
      <c r="A1" s="7" t="inlineStr">
        <is>
          <t>SIMULACION MONTE CARLO — 100 clientes (M/M/1, lam=20/h, mu=25/h)</t>
        </is>
      </c>
      <c r="M1" s="9" t="inlineStr">
        <is>
          <t>PARAMS</t>
        </is>
      </c>
      <c r="N1" s="9" t="inlineStr">
        <is>
          <t>Valor</t>
        </is>
      </c>
    </row>
    <row r="2">
      <c r="A2" s="8" t="inlineStr">
        <is>
          <t>U1 y U2 fijos (semilla) para verificacion. Para experimentar: reemplace columnas B y E por =ALEATORIO() y pulse F9. Parametros en N2:N3.</t>
        </is>
      </c>
      <c r="M2" s="14" t="inlineStr">
        <is>
          <t>lam por min</t>
        </is>
      </c>
      <c r="N2" s="15" t="n">
        <v>0.3333333333333333</v>
      </c>
    </row>
    <row r="3">
      <c r="M3" s="14" t="inlineStr">
        <is>
          <t>mu por min</t>
        </is>
      </c>
      <c r="N3" s="15" t="n">
        <v>0.4166666666666667</v>
      </c>
    </row>
    <row r="4">
      <c r="M4" s="14" t="inlineStr">
        <is>
          <t>n</t>
        </is>
      </c>
      <c r="N4" s="16" t="n">
        <v>100</v>
      </c>
    </row>
    <row r="5" ht="30" customHeight="1">
      <c r="A5" s="9" t="inlineStr">
        <is>
          <t>N</t>
        </is>
      </c>
      <c r="B5" s="9" t="inlineStr">
        <is>
          <t>U1 (llegada)</t>
        </is>
      </c>
      <c r="C5" s="9" t="inlineStr">
        <is>
          <t>TELL (min)</t>
        </is>
      </c>
      <c r="D5" s="9" t="inlineStr">
        <is>
          <t>Hora llegada</t>
        </is>
      </c>
      <c r="E5" s="9" t="inlineStr">
        <is>
          <t>U2 (servicio)</t>
        </is>
      </c>
      <c r="F5" s="9" t="inlineStr">
        <is>
          <t>TS (min)</t>
        </is>
      </c>
      <c r="G5" s="9" t="inlineStr">
        <is>
          <t>Inicio servicio</t>
        </is>
      </c>
      <c r="H5" s="9" t="inlineStr">
        <is>
          <t>Fin servicio</t>
        </is>
      </c>
      <c r="I5" s="9" t="inlineStr">
        <is>
          <t>Espera cola</t>
        </is>
      </c>
      <c r="J5" s="9" t="inlineStr">
        <is>
          <t>Tiempo sistema</t>
        </is>
      </c>
      <c r="K5" s="9" t="inlineStr">
        <is>
          <t>Ocio previo</t>
        </is>
      </c>
    </row>
    <row r="6">
      <c r="A6" s="17" t="n">
        <v>1</v>
      </c>
      <c r="B6" s="18" t="n">
        <v>0.9056396761745207</v>
      </c>
      <c r="C6" s="19">
        <f>-LN(1-B6)/$N$2</f>
        <v/>
      </c>
      <c r="D6" s="19">
        <f>C6</f>
        <v/>
      </c>
      <c r="E6" s="20" t="n">
        <v>0.3014185661477949</v>
      </c>
      <c r="F6" s="19">
        <f>-LN(1-E6)/$N$3</f>
        <v/>
      </c>
      <c r="G6" s="19">
        <f>D6</f>
        <v/>
      </c>
      <c r="H6" s="19">
        <f>G6+F6</f>
        <v/>
      </c>
      <c r="I6" s="19">
        <f>G6-D6</f>
        <v/>
      </c>
      <c r="J6" s="19">
        <f>H6-D6</f>
        <v/>
      </c>
      <c r="K6" s="19">
        <f>G6</f>
        <v/>
      </c>
    </row>
    <row r="7">
      <c r="A7" s="17" t="n">
        <v>2</v>
      </c>
      <c r="B7" s="18" t="n">
        <v>0.6862541570267026</v>
      </c>
      <c r="C7" s="19">
        <f>-LN(1-B7)/$N$2</f>
        <v/>
      </c>
      <c r="D7" s="19">
        <f>D6+C7</f>
        <v/>
      </c>
      <c r="E7" s="20" t="n">
        <v>0.5550220786762025</v>
      </c>
      <c r="F7" s="19">
        <f>-LN(1-E7)/$N$3</f>
        <v/>
      </c>
      <c r="G7" s="19">
        <f>MAX(D7,H6)</f>
        <v/>
      </c>
      <c r="H7" s="19">
        <f>G7+F7</f>
        <v/>
      </c>
      <c r="I7" s="19">
        <f>G7-D7</f>
        <v/>
      </c>
      <c r="J7" s="19">
        <f>H7-D7</f>
        <v/>
      </c>
      <c r="K7" s="19">
        <f>MAX(0,G7-H6)</f>
        <v/>
      </c>
    </row>
    <row r="8">
      <c r="A8" s="17" t="n">
        <v>3</v>
      </c>
      <c r="B8" s="18" t="n">
        <v>0.7665092563626442</v>
      </c>
      <c r="C8" s="19">
        <f>-LN(1-B8)/$N$2</f>
        <v/>
      </c>
      <c r="D8" s="19">
        <f>D7+C8</f>
        <v/>
      </c>
      <c r="E8" s="20" t="n">
        <v>0.8861783902307919</v>
      </c>
      <c r="F8" s="19">
        <f>-LN(1-E8)/$N$3</f>
        <v/>
      </c>
      <c r="G8" s="19">
        <f>MAX(D8,H7)</f>
        <v/>
      </c>
      <c r="H8" s="19">
        <f>G8+F8</f>
        <v/>
      </c>
      <c r="I8" s="19">
        <f>G8-D8</f>
        <v/>
      </c>
      <c r="J8" s="19">
        <f>H8-D8</f>
        <v/>
      </c>
      <c r="K8" s="19">
        <f>MAX(0,G8-H7)</f>
        <v/>
      </c>
    </row>
    <row r="9">
      <c r="A9" s="17" t="n">
        <v>4</v>
      </c>
      <c r="B9" s="18" t="n">
        <v>0.9046162378132736</v>
      </c>
      <c r="C9" s="19">
        <f>-LN(1-B9)/$N$2</f>
        <v/>
      </c>
      <c r="D9" s="19">
        <f>D8+C9</f>
        <v/>
      </c>
      <c r="E9" s="20" t="n">
        <v>0.6479692763294473</v>
      </c>
      <c r="F9" s="19">
        <f>-LN(1-E9)/$N$3</f>
        <v/>
      </c>
      <c r="G9" s="19">
        <f>MAX(D9,H8)</f>
        <v/>
      </c>
      <c r="H9" s="19">
        <f>G9+F9</f>
        <v/>
      </c>
      <c r="I9" s="19">
        <f>G9-D9</f>
        <v/>
      </c>
      <c r="J9" s="19">
        <f>H9-D9</f>
        <v/>
      </c>
      <c r="K9" s="19">
        <f>MAX(0,G9-H8)</f>
        <v/>
      </c>
    </row>
    <row r="10">
      <c r="A10" s="17" t="n">
        <v>5</v>
      </c>
      <c r="B10" s="18" t="n">
        <v>0.2598274474889769</v>
      </c>
      <c r="C10" s="19">
        <f>-LN(1-B10)/$N$2</f>
        <v/>
      </c>
      <c r="D10" s="19">
        <f>D9+C10</f>
        <v/>
      </c>
      <c r="E10" s="20" t="n">
        <v>0.4485186970783507</v>
      </c>
      <c r="F10" s="19">
        <f>-LN(1-E10)/$N$3</f>
        <v/>
      </c>
      <c r="G10" s="19">
        <f>MAX(D10,H9)</f>
        <v/>
      </c>
      <c r="H10" s="19">
        <f>G10+F10</f>
        <v/>
      </c>
      <c r="I10" s="19">
        <f>G10-D10</f>
        <v/>
      </c>
      <c r="J10" s="19">
        <f>H10-D10</f>
        <v/>
      </c>
      <c r="K10" s="19">
        <f>MAX(0,G10-H9)</f>
        <v/>
      </c>
    </row>
    <row r="11">
      <c r="A11" s="17" t="n">
        <v>6</v>
      </c>
      <c r="B11" s="18" t="n">
        <v>0.6357258696059892</v>
      </c>
      <c r="C11" s="19">
        <f>-LN(1-B11)/$N$2</f>
        <v/>
      </c>
      <c r="D11" s="19">
        <f>D10+C11</f>
        <v/>
      </c>
      <c r="E11" s="20" t="n">
        <v>0.003241450926422917</v>
      </c>
      <c r="F11" s="19">
        <f>-LN(1-E11)/$N$3</f>
        <v/>
      </c>
      <c r="G11" s="19">
        <f>MAX(D11,H10)</f>
        <v/>
      </c>
      <c r="H11" s="19">
        <f>G11+F11</f>
        <v/>
      </c>
      <c r="I11" s="19">
        <f>G11-D11</f>
        <v/>
      </c>
      <c r="J11" s="19">
        <f>H11-D11</f>
        <v/>
      </c>
      <c r="K11" s="19">
        <f>MAX(0,G11-H10)</f>
        <v/>
      </c>
    </row>
    <row r="12">
      <c r="A12" s="17" t="n">
        <v>7</v>
      </c>
      <c r="B12" s="18" t="n">
        <v>0.9049456946664788</v>
      </c>
      <c r="C12" s="19">
        <f>-LN(1-B12)/$N$2</f>
        <v/>
      </c>
      <c r="D12" s="19">
        <f>D11+C12</f>
        <v/>
      </c>
      <c r="E12" s="20" t="n">
        <v>0.1885623545494188</v>
      </c>
      <c r="F12" s="19">
        <f>-LN(1-E12)/$N$3</f>
        <v/>
      </c>
      <c r="G12" s="19">
        <f>MAX(D12,H11)</f>
        <v/>
      </c>
      <c r="H12" s="19">
        <f>G12+F12</f>
        <v/>
      </c>
      <c r="I12" s="19">
        <f>G12-D12</f>
        <v/>
      </c>
      <c r="J12" s="19">
        <f>H12-D12</f>
        <v/>
      </c>
      <c r="K12" s="19">
        <f>MAX(0,G12-H11)</f>
        <v/>
      </c>
    </row>
    <row r="13">
      <c r="A13" s="17" t="n">
        <v>8</v>
      </c>
      <c r="B13" s="18" t="n">
        <v>0.8721303740697106</v>
      </c>
      <c r="C13" s="19">
        <f>-LN(1-B13)/$N$2</f>
        <v/>
      </c>
      <c r="D13" s="19">
        <f>D12+C13</f>
        <v/>
      </c>
      <c r="E13" s="20" t="n">
        <v>0.6342062079257506</v>
      </c>
      <c r="F13" s="19">
        <f>-LN(1-E13)/$N$3</f>
        <v/>
      </c>
      <c r="G13" s="19">
        <f>MAX(D13,H12)</f>
        <v/>
      </c>
      <c r="H13" s="19">
        <f>G13+F13</f>
        <v/>
      </c>
      <c r="I13" s="19">
        <f>G13-D13</f>
        <v/>
      </c>
      <c r="J13" s="19">
        <f>H13-D13</f>
        <v/>
      </c>
      <c r="K13" s="19">
        <f>MAX(0,G13-H12)</f>
        <v/>
      </c>
    </row>
    <row r="14">
      <c r="A14" s="17" t="n">
        <v>9</v>
      </c>
      <c r="B14" s="18" t="n">
        <v>0.5729406692492218</v>
      </c>
      <c r="C14" s="19">
        <f>-LN(1-B14)/$N$2</f>
        <v/>
      </c>
      <c r="D14" s="19">
        <f>D13+C14</f>
        <v/>
      </c>
      <c r="E14" s="20" t="n">
        <v>0.4050682108274046</v>
      </c>
      <c r="F14" s="19">
        <f>-LN(1-E14)/$N$3</f>
        <v/>
      </c>
      <c r="G14" s="19">
        <f>MAX(D14,H13)</f>
        <v/>
      </c>
      <c r="H14" s="19">
        <f>G14+F14</f>
        <v/>
      </c>
      <c r="I14" s="19">
        <f>G14-D14</f>
        <v/>
      </c>
      <c r="J14" s="19">
        <f>H14-D14</f>
        <v/>
      </c>
      <c r="K14" s="19">
        <f>MAX(0,G14-H13)</f>
        <v/>
      </c>
    </row>
    <row r="15">
      <c r="A15" s="17" t="n">
        <v>10</v>
      </c>
      <c r="B15" s="18" t="n">
        <v>0.1693780871255699</v>
      </c>
      <c r="C15" s="19">
        <f>-LN(1-B15)/$N$2</f>
        <v/>
      </c>
      <c r="D15" s="19">
        <f>D14+C15</f>
        <v/>
      </c>
      <c r="E15" s="20" t="n">
        <v>0.847085804454963</v>
      </c>
      <c r="F15" s="19">
        <f>-LN(1-E15)/$N$3</f>
        <v/>
      </c>
      <c r="G15" s="19">
        <f>MAX(D15,H14)</f>
        <v/>
      </c>
      <c r="H15" s="19">
        <f>G15+F15</f>
        <v/>
      </c>
      <c r="I15" s="19">
        <f>G15-D15</f>
        <v/>
      </c>
      <c r="J15" s="19">
        <f>H15-D15</f>
        <v/>
      </c>
      <c r="K15" s="19">
        <f>MAX(0,G15-H14)</f>
        <v/>
      </c>
    </row>
    <row r="16">
      <c r="A16" s="17" t="n">
        <v>11</v>
      </c>
      <c r="B16" s="18" t="n">
        <v>0.4115230620409567</v>
      </c>
      <c r="C16" s="19">
        <f>-LN(1-B16)/$N$2</f>
        <v/>
      </c>
      <c r="D16" s="19">
        <f>D15+C16</f>
        <v/>
      </c>
      <c r="E16" s="20" t="n">
        <v>0.9088288607344747</v>
      </c>
      <c r="F16" s="19">
        <f>-LN(1-E16)/$N$3</f>
        <v/>
      </c>
      <c r="G16" s="19">
        <f>MAX(D16,H15)</f>
        <v/>
      </c>
      <c r="H16" s="19">
        <f>G16+F16</f>
        <v/>
      </c>
      <c r="I16" s="19">
        <f>G16-D16</f>
        <v/>
      </c>
      <c r="J16" s="19">
        <f>H16-D16</f>
        <v/>
      </c>
      <c r="K16" s="19">
        <f>MAX(0,G16-H15)</f>
        <v/>
      </c>
    </row>
    <row r="17">
      <c r="A17" s="17" t="n">
        <v>12</v>
      </c>
      <c r="B17" s="18" t="n">
        <v>0.9938380127773296</v>
      </c>
      <c r="C17" s="19">
        <f>-LN(1-B17)/$N$2</f>
        <v/>
      </c>
      <c r="D17" s="19">
        <f>D16+C17</f>
        <v/>
      </c>
      <c r="E17" s="20" t="n">
        <v>0.2964823633955862</v>
      </c>
      <c r="F17" s="19">
        <f>-LN(1-E17)/$N$3</f>
        <v/>
      </c>
      <c r="G17" s="19">
        <f>MAX(D17,H16)</f>
        <v/>
      </c>
      <c r="H17" s="19">
        <f>G17+F17</f>
        <v/>
      </c>
      <c r="I17" s="19">
        <f>G17-D17</f>
        <v/>
      </c>
      <c r="J17" s="19">
        <f>H17-D17</f>
        <v/>
      </c>
      <c r="K17" s="19">
        <f>MAX(0,G17-H16)</f>
        <v/>
      </c>
    </row>
    <row r="18">
      <c r="A18" s="17" t="n">
        <v>13</v>
      </c>
      <c r="B18" s="18" t="n">
        <v>0.1032477999111799</v>
      </c>
      <c r="C18" s="19">
        <f>-LN(1-B18)/$N$2</f>
        <v/>
      </c>
      <c r="D18" s="19">
        <f>D17+C18</f>
        <v/>
      </c>
      <c r="E18" s="20" t="n">
        <v>0.3644915716566643</v>
      </c>
      <c r="F18" s="19">
        <f>-LN(1-E18)/$N$3</f>
        <v/>
      </c>
      <c r="G18" s="19">
        <f>MAX(D18,H17)</f>
        <v/>
      </c>
      <c r="H18" s="19">
        <f>G18+F18</f>
        <v/>
      </c>
      <c r="I18" s="19">
        <f>G18-D18</f>
        <v/>
      </c>
      <c r="J18" s="19">
        <f>H18-D18</f>
        <v/>
      </c>
      <c r="K18" s="19">
        <f>MAX(0,G18-H17)</f>
        <v/>
      </c>
    </row>
    <row r="19">
      <c r="A19" s="17" t="n">
        <v>14</v>
      </c>
      <c r="B19" s="18" t="n">
        <v>0.3191391488492897</v>
      </c>
      <c r="C19" s="19">
        <f>-LN(1-B19)/$N$2</f>
        <v/>
      </c>
      <c r="D19" s="19">
        <f>D18+C19</f>
        <v/>
      </c>
      <c r="E19" s="20" t="n">
        <v>0.2982207845437592</v>
      </c>
      <c r="F19" s="19">
        <f>-LN(1-E19)/$N$3</f>
        <v/>
      </c>
      <c r="G19" s="19">
        <f>MAX(D19,H18)</f>
        <v/>
      </c>
      <c r="H19" s="19">
        <f>G19+F19</f>
        <v/>
      </c>
      <c r="I19" s="19">
        <f>G19-D19</f>
        <v/>
      </c>
      <c r="J19" s="19">
        <f>H19-D19</f>
        <v/>
      </c>
      <c r="K19" s="19">
        <f>MAX(0,G19-H18)</f>
        <v/>
      </c>
    </row>
    <row r="20">
      <c r="A20" s="17" t="n">
        <v>15</v>
      </c>
      <c r="B20" s="18" t="n">
        <v>0.9500391079535002</v>
      </c>
      <c r="C20" s="19">
        <f>-LN(1-B20)/$N$2</f>
        <v/>
      </c>
      <c r="D20" s="19">
        <f>D19+C20</f>
        <v/>
      </c>
      <c r="E20" s="20" t="n">
        <v>0.6764574402986663</v>
      </c>
      <c r="F20" s="19">
        <f>-LN(1-E20)/$N$3</f>
        <v/>
      </c>
      <c r="G20" s="19">
        <f>MAX(D20,H19)</f>
        <v/>
      </c>
      <c r="H20" s="19">
        <f>G20+F20</f>
        <v/>
      </c>
      <c r="I20" s="19">
        <f>G20-D20</f>
        <v/>
      </c>
      <c r="J20" s="19">
        <f>H20-D20</f>
        <v/>
      </c>
      <c r="K20" s="19">
        <f>MAX(0,G20-H19)</f>
        <v/>
      </c>
    </row>
    <row r="21">
      <c r="A21" s="17" t="n">
        <v>16</v>
      </c>
      <c r="B21" s="18" t="n">
        <v>0.4494007558523254</v>
      </c>
      <c r="C21" s="19">
        <f>-LN(1-B21)/$N$2</f>
        <v/>
      </c>
      <c r="D21" s="19">
        <f>D20+C21</f>
        <v/>
      </c>
      <c r="E21" s="20" t="n">
        <v>0.09867756072323164</v>
      </c>
      <c r="F21" s="19">
        <f>-LN(1-E21)/$N$3</f>
        <v/>
      </c>
      <c r="G21" s="19">
        <f>MAX(D21,H20)</f>
        <v/>
      </c>
      <c r="H21" s="19">
        <f>G21+F21</f>
        <v/>
      </c>
      <c r="I21" s="19">
        <f>G21-D21</f>
        <v/>
      </c>
      <c r="J21" s="19">
        <f>H21-D21</f>
        <v/>
      </c>
      <c r="K21" s="19">
        <f>MAX(0,G21-H20)</f>
        <v/>
      </c>
    </row>
    <row r="22">
      <c r="A22" s="17" t="n">
        <v>17</v>
      </c>
      <c r="B22" s="18" t="n">
        <v>0.2086525723324429</v>
      </c>
      <c r="C22" s="19">
        <f>-LN(1-B22)/$N$2</f>
        <v/>
      </c>
      <c r="D22" s="19">
        <f>D21+C22</f>
        <v/>
      </c>
      <c r="E22" s="20" t="n">
        <v>0.2762245465948823</v>
      </c>
      <c r="F22" s="19">
        <f>-LN(1-E22)/$N$3</f>
        <v/>
      </c>
      <c r="G22" s="19">
        <f>MAX(D22,H21)</f>
        <v/>
      </c>
      <c r="H22" s="19">
        <f>G22+F22</f>
        <v/>
      </c>
      <c r="I22" s="19">
        <f>G22-D22</f>
        <v/>
      </c>
      <c r="J22" s="19">
        <f>H22-D22</f>
        <v/>
      </c>
      <c r="K22" s="19">
        <f>MAX(0,G22-H21)</f>
        <v/>
      </c>
    </row>
    <row r="23">
      <c r="A23" s="17" t="n">
        <v>18</v>
      </c>
      <c r="B23" s="18" t="n">
        <v>0.316903983245593</v>
      </c>
      <c r="C23" s="19">
        <f>-LN(1-B23)/$N$2</f>
        <v/>
      </c>
      <c r="D23" s="19">
        <f>D22+C23</f>
        <v/>
      </c>
      <c r="E23" s="20" t="n">
        <v>0.8785173698325508</v>
      </c>
      <c r="F23" s="19">
        <f>-LN(1-E23)/$N$3</f>
        <v/>
      </c>
      <c r="G23" s="19">
        <f>MAX(D23,H22)</f>
        <v/>
      </c>
      <c r="H23" s="19">
        <f>G23+F23</f>
        <v/>
      </c>
      <c r="I23" s="19">
        <f>G23-D23</f>
        <v/>
      </c>
      <c r="J23" s="19">
        <f>H23-D23</f>
        <v/>
      </c>
      <c r="K23" s="19">
        <f>MAX(0,G23-H22)</f>
        <v/>
      </c>
    </row>
    <row r="24">
      <c r="A24" s="17" t="n">
        <v>19</v>
      </c>
      <c r="B24" s="18" t="n">
        <v>0.9086358448961127</v>
      </c>
      <c r="C24" s="19">
        <f>-LN(1-B24)/$N$2</f>
        <v/>
      </c>
      <c r="D24" s="19">
        <f>D23+C24</f>
        <v/>
      </c>
      <c r="E24" s="20" t="n">
        <v>0.3732352162560842</v>
      </c>
      <c r="F24" s="19">
        <f>-LN(1-E24)/$N$3</f>
        <v/>
      </c>
      <c r="G24" s="19">
        <f>MAX(D24,H23)</f>
        <v/>
      </c>
      <c r="H24" s="19">
        <f>G24+F24</f>
        <v/>
      </c>
      <c r="I24" s="19">
        <f>G24-D24</f>
        <v/>
      </c>
      <c r="J24" s="19">
        <f>H24-D24</f>
        <v/>
      </c>
      <c r="K24" s="19">
        <f>MAX(0,G24-H23)</f>
        <v/>
      </c>
    </row>
    <row r="25">
      <c r="A25" s="17" t="n">
        <v>20</v>
      </c>
      <c r="B25" s="18" t="n">
        <v>0.3355688104684739</v>
      </c>
      <c r="C25" s="19">
        <f>-LN(1-B25)/$N$2</f>
        <v/>
      </c>
      <c r="D25" s="19">
        <f>D24+C25</f>
        <v/>
      </c>
      <c r="E25" s="20" t="n">
        <v>0.9699320665190277</v>
      </c>
      <c r="F25" s="19">
        <f>-LN(1-E25)/$N$3</f>
        <v/>
      </c>
      <c r="G25" s="19">
        <f>MAX(D25,H24)</f>
        <v/>
      </c>
      <c r="H25" s="19">
        <f>G25+F25</f>
        <v/>
      </c>
      <c r="I25" s="19">
        <f>G25-D25</f>
        <v/>
      </c>
      <c r="J25" s="19">
        <f>H25-D25</f>
        <v/>
      </c>
      <c r="K25" s="19">
        <f>MAX(0,G25-H24)</f>
        <v/>
      </c>
    </row>
    <row r="26">
      <c r="A26" s="17" t="n">
        <v>21</v>
      </c>
      <c r="B26" s="18" t="n">
        <v>0.4273717931861004</v>
      </c>
      <c r="C26" s="19">
        <f>-LN(1-B26)/$N$2</f>
        <v/>
      </c>
      <c r="D26" s="19">
        <f>D25+C26</f>
        <v/>
      </c>
      <c r="E26" s="20" t="n">
        <v>0.395902499407584</v>
      </c>
      <c r="F26" s="19">
        <f>-LN(1-E26)/$N$3</f>
        <v/>
      </c>
      <c r="G26" s="19">
        <f>MAX(D26,H25)</f>
        <v/>
      </c>
      <c r="H26" s="19">
        <f>G26+F26</f>
        <v/>
      </c>
      <c r="I26" s="19">
        <f>G26-D26</f>
        <v/>
      </c>
      <c r="J26" s="19">
        <f>H26-D26</f>
        <v/>
      </c>
      <c r="K26" s="19">
        <f>MAX(0,G26-H25)</f>
        <v/>
      </c>
    </row>
    <row r="27">
      <c r="A27" s="17" t="n">
        <v>22</v>
      </c>
      <c r="B27" s="18" t="n">
        <v>0.6276838370997428</v>
      </c>
      <c r="C27" s="19">
        <f>-LN(1-B27)/$N$2</f>
        <v/>
      </c>
      <c r="D27" s="19">
        <f>D26+C27</f>
        <v/>
      </c>
      <c r="E27" s="20" t="n">
        <v>0.8369218401726627</v>
      </c>
      <c r="F27" s="19">
        <f>-LN(1-E27)/$N$3</f>
        <v/>
      </c>
      <c r="G27" s="19">
        <f>MAX(D27,H26)</f>
        <v/>
      </c>
      <c r="H27" s="19">
        <f>G27+F27</f>
        <v/>
      </c>
      <c r="I27" s="19">
        <f>G27-D27</f>
        <v/>
      </c>
      <c r="J27" s="19">
        <f>H27-D27</f>
        <v/>
      </c>
      <c r="K27" s="19">
        <f>MAX(0,G27-H26)</f>
        <v/>
      </c>
    </row>
    <row r="28">
      <c r="A28" s="17" t="n">
        <v>23</v>
      </c>
      <c r="B28" s="18" t="n">
        <v>0.8055850702646647</v>
      </c>
      <c r="C28" s="19">
        <f>-LN(1-B28)/$N$2</f>
        <v/>
      </c>
      <c r="D28" s="19">
        <f>D27+C28</f>
        <v/>
      </c>
      <c r="E28" s="20" t="n">
        <v>0.4625195474192006</v>
      </c>
      <c r="F28" s="19">
        <f>-LN(1-E28)/$N$3</f>
        <v/>
      </c>
      <c r="G28" s="19">
        <f>MAX(D28,H27)</f>
        <v/>
      </c>
      <c r="H28" s="19">
        <f>G28+F28</f>
        <v/>
      </c>
      <c r="I28" s="19">
        <f>G28-D28</f>
        <v/>
      </c>
      <c r="J28" s="19">
        <f>H28-D28</f>
        <v/>
      </c>
      <c r="K28" s="19">
        <f>MAX(0,G28-H27)</f>
        <v/>
      </c>
    </row>
    <row r="29">
      <c r="A29" s="17" t="n">
        <v>24</v>
      </c>
      <c r="B29" s="18" t="n">
        <v>0.4921135858068838</v>
      </c>
      <c r="C29" s="19">
        <f>-LN(1-B29)/$N$2</f>
        <v/>
      </c>
      <c r="D29" s="19">
        <f>D28+C29</f>
        <v/>
      </c>
      <c r="E29" s="20" t="n">
        <v>0.09937322189368036</v>
      </c>
      <c r="F29" s="19">
        <f>-LN(1-E29)/$N$3</f>
        <v/>
      </c>
      <c r="G29" s="19">
        <f>MAX(D29,H28)</f>
        <v/>
      </c>
      <c r="H29" s="19">
        <f>G29+F29</f>
        <v/>
      </c>
      <c r="I29" s="19">
        <f>G29-D29</f>
        <v/>
      </c>
      <c r="J29" s="19">
        <f>H29-D29</f>
        <v/>
      </c>
      <c r="K29" s="19">
        <f>MAX(0,G29-H28)</f>
        <v/>
      </c>
    </row>
    <row r="30">
      <c r="A30" s="17" t="n">
        <v>25</v>
      </c>
      <c r="B30" s="18" t="n">
        <v>0.08146598343806932</v>
      </c>
      <c r="C30" s="19">
        <f>-LN(1-B30)/$N$2</f>
        <v/>
      </c>
      <c r="D30" s="19">
        <f>D29+C30</f>
        <v/>
      </c>
      <c r="E30" s="20" t="n">
        <v>0.5776494999922732</v>
      </c>
      <c r="F30" s="19">
        <f>-LN(1-E30)/$N$3</f>
        <v/>
      </c>
      <c r="G30" s="19">
        <f>MAX(D30,H29)</f>
        <v/>
      </c>
      <c r="H30" s="19">
        <f>G30+F30</f>
        <v/>
      </c>
      <c r="I30" s="19">
        <f>G30-D30</f>
        <v/>
      </c>
      <c r="J30" s="19">
        <f>H30-D30</f>
        <v/>
      </c>
      <c r="K30" s="19">
        <f>MAX(0,G30-H29)</f>
        <v/>
      </c>
    </row>
    <row r="31">
      <c r="A31" s="17" t="n">
        <v>26</v>
      </c>
      <c r="B31" s="18" t="n">
        <v>0.5732099431950031</v>
      </c>
      <c r="C31" s="19">
        <f>-LN(1-B31)/$N$2</f>
        <v/>
      </c>
      <c r="D31" s="19">
        <f>D30+C31</f>
        <v/>
      </c>
      <c r="E31" s="20" t="n">
        <v>0.2113047612021784</v>
      </c>
      <c r="F31" s="19">
        <f>-LN(1-E31)/$N$3</f>
        <v/>
      </c>
      <c r="G31" s="19">
        <f>MAX(D31,H30)</f>
        <v/>
      </c>
      <c r="H31" s="19">
        <f>G31+F31</f>
        <v/>
      </c>
      <c r="I31" s="19">
        <f>G31-D31</f>
        <v/>
      </c>
      <c r="J31" s="19">
        <f>H31-D31</f>
        <v/>
      </c>
      <c r="K31" s="19">
        <f>MAX(0,G31-H30)</f>
        <v/>
      </c>
    </row>
    <row r="32">
      <c r="A32" s="17" t="n">
        <v>27</v>
      </c>
      <c r="B32" s="18" t="n">
        <v>0.03509715349835263</v>
      </c>
      <c r="C32" s="19">
        <f>-LN(1-B32)/$N$2</f>
        <v/>
      </c>
      <c r="D32" s="19">
        <f>D31+C32</f>
        <v/>
      </c>
      <c r="E32" s="20" t="n">
        <v>0.9179019779713632</v>
      </c>
      <c r="F32" s="19">
        <f>-LN(1-E32)/$N$3</f>
        <v/>
      </c>
      <c r="G32" s="19">
        <f>MAX(D32,H31)</f>
        <v/>
      </c>
      <c r="H32" s="19">
        <f>G32+F32</f>
        <v/>
      </c>
      <c r="I32" s="19">
        <f>G32-D32</f>
        <v/>
      </c>
      <c r="J32" s="19">
        <f>H32-D32</f>
        <v/>
      </c>
      <c r="K32" s="19">
        <f>MAX(0,G32-H31)</f>
        <v/>
      </c>
    </row>
    <row r="33">
      <c r="A33" s="17" t="n">
        <v>28</v>
      </c>
      <c r="B33" s="18" t="n">
        <v>0.094524972764786</v>
      </c>
      <c r="C33" s="19">
        <f>-LN(1-B33)/$N$2</f>
        <v/>
      </c>
      <c r="D33" s="19">
        <f>D32+C33</f>
        <v/>
      </c>
      <c r="E33" s="20" t="n">
        <v>0.7009042555946839</v>
      </c>
      <c r="F33" s="19">
        <f>-LN(1-E33)/$N$3</f>
        <v/>
      </c>
      <c r="G33" s="19">
        <f>MAX(D33,H32)</f>
        <v/>
      </c>
      <c r="H33" s="19">
        <f>G33+F33</f>
        <v/>
      </c>
      <c r="I33" s="19">
        <f>G33-D33</f>
        <v/>
      </c>
      <c r="J33" s="19">
        <f>H33-D33</f>
        <v/>
      </c>
      <c r="K33" s="19">
        <f>MAX(0,G33-H32)</f>
        <v/>
      </c>
    </row>
    <row r="34">
      <c r="A34" s="17" t="n">
        <v>29</v>
      </c>
      <c r="B34" s="18" t="n">
        <v>0.1903375406073249</v>
      </c>
      <c r="C34" s="19">
        <f>-LN(1-B34)/$N$2</f>
        <v/>
      </c>
      <c r="D34" s="19">
        <f>D33+C34</f>
        <v/>
      </c>
      <c r="E34" s="20" t="n">
        <v>0.5292670508473225</v>
      </c>
      <c r="F34" s="19">
        <f>-LN(1-E34)/$N$3</f>
        <v/>
      </c>
      <c r="G34" s="19">
        <f>MAX(D34,H33)</f>
        <v/>
      </c>
      <c r="H34" s="19">
        <f>G34+F34</f>
        <v/>
      </c>
      <c r="I34" s="19">
        <f>G34-D34</f>
        <v/>
      </c>
      <c r="J34" s="19">
        <f>H34-D34</f>
        <v/>
      </c>
      <c r="K34" s="19">
        <f>MAX(0,G34-H33)</f>
        <v/>
      </c>
    </row>
    <row r="35">
      <c r="A35" s="17" t="n">
        <v>30</v>
      </c>
      <c r="B35" s="18" t="n">
        <v>0.6934382227393258</v>
      </c>
      <c r="C35" s="19">
        <f>-LN(1-B35)/$N$2</f>
        <v/>
      </c>
      <c r="D35" s="19">
        <f>D34+C35</f>
        <v/>
      </c>
      <c r="E35" s="20" t="n">
        <v>0.9225831087763718</v>
      </c>
      <c r="F35" s="19">
        <f>-LN(1-E35)/$N$3</f>
        <v/>
      </c>
      <c r="G35" s="19">
        <f>MAX(D35,H34)</f>
        <v/>
      </c>
      <c r="H35" s="19">
        <f>G35+F35</f>
        <v/>
      </c>
      <c r="I35" s="19">
        <f>G35-D35</f>
        <v/>
      </c>
      <c r="J35" s="19">
        <f>H35-D35</f>
        <v/>
      </c>
      <c r="K35" s="19">
        <f>MAX(0,G35-H34)</f>
        <v/>
      </c>
    </row>
    <row r="36">
      <c r="A36" s="17" t="n">
        <v>31</v>
      </c>
      <c r="B36" s="18" t="n">
        <v>0.283472421057995</v>
      </c>
      <c r="C36" s="19">
        <f>-LN(1-B36)/$N$2</f>
        <v/>
      </c>
      <c r="D36" s="19">
        <f>D35+C36</f>
        <v/>
      </c>
      <c r="E36" s="20" t="n">
        <v>0.5470725195294643</v>
      </c>
      <c r="F36" s="19">
        <f>-LN(1-E36)/$N$3</f>
        <v/>
      </c>
      <c r="G36" s="19">
        <f>MAX(D36,H35)</f>
        <v/>
      </c>
      <c r="H36" s="19">
        <f>G36+F36</f>
        <v/>
      </c>
      <c r="I36" s="19">
        <f>G36-D36</f>
        <v/>
      </c>
      <c r="J36" s="19">
        <f>H36-D36</f>
        <v/>
      </c>
      <c r="K36" s="19">
        <f>MAX(0,G36-H35)</f>
        <v/>
      </c>
    </row>
    <row r="37">
      <c r="A37" s="17" t="n">
        <v>32</v>
      </c>
      <c r="B37" s="18" t="n">
        <v>0.6902498100458299</v>
      </c>
      <c r="C37" s="19">
        <f>-LN(1-B37)/$N$2</f>
        <v/>
      </c>
      <c r="D37" s="19">
        <f>D36+C37</f>
        <v/>
      </c>
      <c r="E37" s="20" t="n">
        <v>0.9667000125409362</v>
      </c>
      <c r="F37" s="19">
        <f>-LN(1-E37)/$N$3</f>
        <v/>
      </c>
      <c r="G37" s="19">
        <f>MAX(D37,H36)</f>
        <v/>
      </c>
      <c r="H37" s="19">
        <f>G37+F37</f>
        <v/>
      </c>
      <c r="I37" s="19">
        <f>G37-D37</f>
        <v/>
      </c>
      <c r="J37" s="19">
        <f>H37-D37</f>
        <v/>
      </c>
      <c r="K37" s="19">
        <f>MAX(0,G37-H36)</f>
        <v/>
      </c>
    </row>
    <row r="38">
      <c r="A38" s="17" t="n">
        <v>33</v>
      </c>
      <c r="B38" s="18" t="n">
        <v>0.1633494468328136</v>
      </c>
      <c r="C38" s="19">
        <f>-LN(1-B38)/$N$2</f>
        <v/>
      </c>
      <c r="D38" s="19">
        <f>D37+C38</f>
        <v/>
      </c>
      <c r="E38" s="20" t="n">
        <v>0.7148302794659075</v>
      </c>
      <c r="F38" s="19">
        <f>-LN(1-E38)/$N$3</f>
        <v/>
      </c>
      <c r="G38" s="19">
        <f>MAX(D38,H37)</f>
        <v/>
      </c>
      <c r="H38" s="19">
        <f>G38+F38</f>
        <v/>
      </c>
      <c r="I38" s="19">
        <f>G38-D38</f>
        <v/>
      </c>
      <c r="J38" s="19">
        <f>H38-D38</f>
        <v/>
      </c>
      <c r="K38" s="19">
        <f>MAX(0,G38-H37)</f>
        <v/>
      </c>
    </row>
    <row r="39">
      <c r="A39" s="17" t="n">
        <v>34</v>
      </c>
      <c r="B39" s="18" t="n">
        <v>0.1176968880421501</v>
      </c>
      <c r="C39" s="19">
        <f>-LN(1-B39)/$N$2</f>
        <v/>
      </c>
      <c r="D39" s="19">
        <f>D38+C39</f>
        <v/>
      </c>
      <c r="E39" s="20" t="n">
        <v>0.1789604669630851</v>
      </c>
      <c r="F39" s="19">
        <f>-LN(1-E39)/$N$3</f>
        <v/>
      </c>
      <c r="G39" s="19">
        <f>MAX(D39,H38)</f>
        <v/>
      </c>
      <c r="H39" s="19">
        <f>G39+F39</f>
        <v/>
      </c>
      <c r="I39" s="19">
        <f>G39-D39</f>
        <v/>
      </c>
      <c r="J39" s="19">
        <f>H39-D39</f>
        <v/>
      </c>
      <c r="K39" s="19">
        <f>MAX(0,G39-H38)</f>
        <v/>
      </c>
    </row>
    <row r="40">
      <c r="A40" s="17" t="n">
        <v>35</v>
      </c>
      <c r="B40" s="18" t="n">
        <v>0.02334472736383486</v>
      </c>
      <c r="C40" s="19">
        <f>-LN(1-B40)/$N$2</f>
        <v/>
      </c>
      <c r="D40" s="19">
        <f>D39+C40</f>
        <v/>
      </c>
      <c r="E40" s="20" t="n">
        <v>0.2940120369880616</v>
      </c>
      <c r="F40" s="19">
        <f>-LN(1-E40)/$N$3</f>
        <v/>
      </c>
      <c r="G40" s="19">
        <f>MAX(D40,H39)</f>
        <v/>
      </c>
      <c r="H40" s="19">
        <f>G40+F40</f>
        <v/>
      </c>
      <c r="I40" s="19">
        <f>G40-D40</f>
        <v/>
      </c>
      <c r="J40" s="19">
        <f>H40-D40</f>
        <v/>
      </c>
      <c r="K40" s="19">
        <f>MAX(0,G40-H39)</f>
        <v/>
      </c>
    </row>
    <row r="41">
      <c r="A41" s="17" t="n">
        <v>36</v>
      </c>
      <c r="B41" s="18" t="n">
        <v>0.7057837116268251</v>
      </c>
      <c r="C41" s="19">
        <f>-LN(1-B41)/$N$2</f>
        <v/>
      </c>
      <c r="D41" s="19">
        <f>D40+C41</f>
        <v/>
      </c>
      <c r="E41" s="20" t="n">
        <v>0.8459788185833074</v>
      </c>
      <c r="F41" s="19">
        <f>-LN(1-E41)/$N$3</f>
        <v/>
      </c>
      <c r="G41" s="19">
        <f>MAX(D41,H40)</f>
        <v/>
      </c>
      <c r="H41" s="19">
        <f>G41+F41</f>
        <v/>
      </c>
      <c r="I41" s="19">
        <f>G41-D41</f>
        <v/>
      </c>
      <c r="J41" s="19">
        <f>H41-D41</f>
        <v/>
      </c>
      <c r="K41" s="19">
        <f>MAX(0,G41-H40)</f>
        <v/>
      </c>
    </row>
    <row r="42">
      <c r="A42" s="17" t="n">
        <v>37</v>
      </c>
      <c r="B42" s="18" t="n">
        <v>0.8591126415220334</v>
      </c>
      <c r="C42" s="19">
        <f>-LN(1-B42)/$N$2</f>
        <v/>
      </c>
      <c r="D42" s="19">
        <f>D41+C42</f>
        <v/>
      </c>
      <c r="E42" s="20" t="n">
        <v>0.09988638015416496</v>
      </c>
      <c r="F42" s="19">
        <f>-LN(1-E42)/$N$3</f>
        <v/>
      </c>
      <c r="G42" s="19">
        <f>MAX(D42,H41)</f>
        <v/>
      </c>
      <c r="H42" s="19">
        <f>G42+F42</f>
        <v/>
      </c>
      <c r="I42" s="19">
        <f>G42-D42</f>
        <v/>
      </c>
      <c r="J42" s="19">
        <f>H42-D42</f>
        <v/>
      </c>
      <c r="K42" s="19">
        <f>MAX(0,G42-H41)</f>
        <v/>
      </c>
    </row>
    <row r="43">
      <c r="A43" s="17" t="n">
        <v>38</v>
      </c>
      <c r="B43" s="18" t="n">
        <v>0.2196656135762565</v>
      </c>
      <c r="C43" s="19">
        <f>-LN(1-B43)/$N$2</f>
        <v/>
      </c>
      <c r="D43" s="19">
        <f>D42+C43</f>
        <v/>
      </c>
      <c r="E43" s="20" t="n">
        <v>0.9815454183857326</v>
      </c>
      <c r="F43" s="19">
        <f>-LN(1-E43)/$N$3</f>
        <v/>
      </c>
      <c r="G43" s="19">
        <f>MAX(D43,H42)</f>
        <v/>
      </c>
      <c r="H43" s="19">
        <f>G43+F43</f>
        <v/>
      </c>
      <c r="I43" s="19">
        <f>G43-D43</f>
        <v/>
      </c>
      <c r="J43" s="19">
        <f>H43-D43</f>
        <v/>
      </c>
      <c r="K43" s="19">
        <f>MAX(0,G43-H42)</f>
        <v/>
      </c>
    </row>
    <row r="44">
      <c r="A44" s="17" t="n">
        <v>39</v>
      </c>
      <c r="B44" s="18" t="n">
        <v>0.2375693697930312</v>
      </c>
      <c r="C44" s="19">
        <f>-LN(1-B44)/$N$2</f>
        <v/>
      </c>
      <c r="D44" s="19">
        <f>D43+C44</f>
        <v/>
      </c>
      <c r="E44" s="20" t="n">
        <v>0.04123701312626815</v>
      </c>
      <c r="F44" s="19">
        <f>-LN(1-E44)/$N$3</f>
        <v/>
      </c>
      <c r="G44" s="19">
        <f>MAX(D44,H43)</f>
        <v/>
      </c>
      <c r="H44" s="19">
        <f>G44+F44</f>
        <v/>
      </c>
      <c r="I44" s="19">
        <f>G44-D44</f>
        <v/>
      </c>
      <c r="J44" s="19">
        <f>H44-D44</f>
        <v/>
      </c>
      <c r="K44" s="19">
        <f>MAX(0,G44-H43)</f>
        <v/>
      </c>
    </row>
    <row r="45">
      <c r="A45" s="17" t="n">
        <v>40</v>
      </c>
      <c r="B45" s="18" t="n">
        <v>0.01298008709452114</v>
      </c>
      <c r="C45" s="19">
        <f>-LN(1-B45)/$N$2</f>
        <v/>
      </c>
      <c r="D45" s="19">
        <f>D44+C45</f>
        <v/>
      </c>
      <c r="E45" s="20" t="n">
        <v>0.7497110307735755</v>
      </c>
      <c r="F45" s="19">
        <f>-LN(1-E45)/$N$3</f>
        <v/>
      </c>
      <c r="G45" s="19">
        <f>MAX(D45,H44)</f>
        <v/>
      </c>
      <c r="H45" s="19">
        <f>G45+F45</f>
        <v/>
      </c>
      <c r="I45" s="19">
        <f>G45-D45</f>
        <v/>
      </c>
      <c r="J45" s="19">
        <f>H45-D45</f>
        <v/>
      </c>
      <c r="K45" s="19">
        <f>MAX(0,G45-H44)</f>
        <v/>
      </c>
    </row>
    <row r="46">
      <c r="A46" s="17" t="n">
        <v>41</v>
      </c>
      <c r="B46" s="18" t="n">
        <v>0.6448584468489341</v>
      </c>
      <c r="C46" s="19">
        <f>-LN(1-B46)/$N$2</f>
        <v/>
      </c>
      <c r="D46" s="19">
        <f>D45+C46</f>
        <v/>
      </c>
      <c r="E46" s="20" t="n">
        <v>0.6182689811963613</v>
      </c>
      <c r="F46" s="19">
        <f>-LN(1-E46)/$N$3</f>
        <v/>
      </c>
      <c r="G46" s="19">
        <f>MAX(D46,H45)</f>
        <v/>
      </c>
      <c r="H46" s="19">
        <f>G46+F46</f>
        <v/>
      </c>
      <c r="I46" s="19">
        <f>G46-D46</f>
        <v/>
      </c>
      <c r="J46" s="19">
        <f>H46-D46</f>
        <v/>
      </c>
      <c r="K46" s="19">
        <f>MAX(0,G46-H45)</f>
        <v/>
      </c>
    </row>
    <row r="47">
      <c r="A47" s="17" t="n">
        <v>42</v>
      </c>
      <c r="B47" s="18" t="n">
        <v>0.3007460778906799</v>
      </c>
      <c r="C47" s="19">
        <f>-LN(1-B47)/$N$2</f>
        <v/>
      </c>
      <c r="D47" s="19">
        <f>D46+C47</f>
        <v/>
      </c>
      <c r="E47" s="20" t="n">
        <v>0.4060896760865768</v>
      </c>
      <c r="F47" s="19">
        <f>-LN(1-E47)/$N$3</f>
        <v/>
      </c>
      <c r="G47" s="19">
        <f>MAX(D47,H46)</f>
        <v/>
      </c>
      <c r="H47" s="19">
        <f>G47+F47</f>
        <v/>
      </c>
      <c r="I47" s="19">
        <f>G47-D47</f>
        <v/>
      </c>
      <c r="J47" s="19">
        <f>H47-D47</f>
        <v/>
      </c>
      <c r="K47" s="19">
        <f>MAX(0,G47-H46)</f>
        <v/>
      </c>
    </row>
    <row r="48">
      <c r="A48" s="17" t="n">
        <v>43</v>
      </c>
      <c r="B48" s="18" t="n">
        <v>0.136872304192037</v>
      </c>
      <c r="C48" s="19">
        <f>-LN(1-B48)/$N$2</f>
        <v/>
      </c>
      <c r="D48" s="19">
        <f>D47+C48</f>
        <v/>
      </c>
      <c r="E48" s="20" t="n">
        <v>0.601250321255689</v>
      </c>
      <c r="F48" s="19">
        <f>-LN(1-E48)/$N$3</f>
        <v/>
      </c>
      <c r="G48" s="19">
        <f>MAX(D48,H47)</f>
        <v/>
      </c>
      <c r="H48" s="19">
        <f>G48+F48</f>
        <v/>
      </c>
      <c r="I48" s="19">
        <f>G48-D48</f>
        <v/>
      </c>
      <c r="J48" s="19">
        <f>H48-D48</f>
        <v/>
      </c>
      <c r="K48" s="19">
        <f>MAX(0,G48-H47)</f>
        <v/>
      </c>
    </row>
    <row r="49">
      <c r="A49" s="17" t="n">
        <v>44</v>
      </c>
      <c r="B49" s="18" t="n">
        <v>0.6468735585798162</v>
      </c>
      <c r="C49" s="19">
        <f>-LN(1-B49)/$N$2</f>
        <v/>
      </c>
      <c r="D49" s="19">
        <f>D48+C49</f>
        <v/>
      </c>
      <c r="E49" s="20" t="n">
        <v>0.5822613600457334</v>
      </c>
      <c r="F49" s="19">
        <f>-LN(1-E49)/$N$3</f>
        <v/>
      </c>
      <c r="G49" s="19">
        <f>MAX(D49,H48)</f>
        <v/>
      </c>
      <c r="H49" s="19">
        <f>G49+F49</f>
        <v/>
      </c>
      <c r="I49" s="19">
        <f>G49-D49</f>
        <v/>
      </c>
      <c r="J49" s="19">
        <f>H49-D49</f>
        <v/>
      </c>
      <c r="K49" s="19">
        <f>MAX(0,G49-H48)</f>
        <v/>
      </c>
    </row>
    <row r="50">
      <c r="A50" s="17" t="n">
        <v>45</v>
      </c>
      <c r="B50" s="18" t="n">
        <v>0.5997335517502819</v>
      </c>
      <c r="C50" s="19">
        <f>-LN(1-B50)/$N$2</f>
        <v/>
      </c>
      <c r="D50" s="19">
        <f>D49+C50</f>
        <v/>
      </c>
      <c r="E50" s="20" t="n">
        <v>0.359712576788574</v>
      </c>
      <c r="F50" s="19">
        <f>-LN(1-E50)/$N$3</f>
        <v/>
      </c>
      <c r="G50" s="19">
        <f>MAX(D50,H49)</f>
        <v/>
      </c>
      <c r="H50" s="19">
        <f>G50+F50</f>
        <v/>
      </c>
      <c r="I50" s="19">
        <f>G50-D50</f>
        <v/>
      </c>
      <c r="J50" s="19">
        <f>H50-D50</f>
        <v/>
      </c>
      <c r="K50" s="19">
        <f>MAX(0,G50-H49)</f>
        <v/>
      </c>
    </row>
    <row r="51">
      <c r="A51" s="17" t="n">
        <v>46</v>
      </c>
      <c r="B51" s="18" t="n">
        <v>0.4473885514326741</v>
      </c>
      <c r="C51" s="19">
        <f>-LN(1-B51)/$N$2</f>
        <v/>
      </c>
      <c r="D51" s="19">
        <f>D50+C51</f>
        <v/>
      </c>
      <c r="E51" s="20" t="n">
        <v>0.2829582575170991</v>
      </c>
      <c r="F51" s="19">
        <f>-LN(1-E51)/$N$3</f>
        <v/>
      </c>
      <c r="G51" s="19">
        <f>MAX(D51,H50)</f>
        <v/>
      </c>
      <c r="H51" s="19">
        <f>G51+F51</f>
        <v/>
      </c>
      <c r="I51" s="19">
        <f>G51-D51</f>
        <v/>
      </c>
      <c r="J51" s="19">
        <f>H51-D51</f>
        <v/>
      </c>
      <c r="K51" s="19">
        <f>MAX(0,G51-H50)</f>
        <v/>
      </c>
    </row>
    <row r="52">
      <c r="A52" s="17" t="n">
        <v>47</v>
      </c>
      <c r="B52" s="18" t="n">
        <v>0.1530132883968222</v>
      </c>
      <c r="C52" s="19">
        <f>-LN(1-B52)/$N$2</f>
        <v/>
      </c>
      <c r="D52" s="19">
        <f>D51+C52</f>
        <v/>
      </c>
      <c r="E52" s="20" t="n">
        <v>0.04988075651274959</v>
      </c>
      <c r="F52" s="19">
        <f>-LN(1-E52)/$N$3</f>
        <v/>
      </c>
      <c r="G52" s="19">
        <f>MAX(D52,H51)</f>
        <v/>
      </c>
      <c r="H52" s="19">
        <f>G52+F52</f>
        <v/>
      </c>
      <c r="I52" s="19">
        <f>G52-D52</f>
        <v/>
      </c>
      <c r="J52" s="19">
        <f>H52-D52</f>
        <v/>
      </c>
      <c r="K52" s="19">
        <f>MAX(0,G52-H51)</f>
        <v/>
      </c>
    </row>
    <row r="53">
      <c r="A53" s="17" t="n">
        <v>48</v>
      </c>
      <c r="B53" s="18" t="n">
        <v>0.6386706625953511</v>
      </c>
      <c r="C53" s="19">
        <f>-LN(1-B53)/$N$2</f>
        <v/>
      </c>
      <c r="D53" s="19">
        <f>D52+C53</f>
        <v/>
      </c>
      <c r="E53" s="20" t="n">
        <v>0.6550422693617433</v>
      </c>
      <c r="F53" s="19">
        <f>-LN(1-E53)/$N$3</f>
        <v/>
      </c>
      <c r="G53" s="19">
        <f>MAX(D53,H52)</f>
        <v/>
      </c>
      <c r="H53" s="19">
        <f>G53+F53</f>
        <v/>
      </c>
      <c r="I53" s="19">
        <f>G53-D53</f>
        <v/>
      </c>
      <c r="J53" s="19">
        <f>H53-D53</f>
        <v/>
      </c>
      <c r="K53" s="19">
        <f>MAX(0,G53-H52)</f>
        <v/>
      </c>
    </row>
    <row r="54">
      <c r="A54" s="17" t="n">
        <v>49</v>
      </c>
      <c r="B54" s="18" t="n">
        <v>0.5556893112719441</v>
      </c>
      <c r="C54" s="19">
        <f>-LN(1-B54)/$N$2</f>
        <v/>
      </c>
      <c r="D54" s="19">
        <f>D53+C54</f>
        <v/>
      </c>
      <c r="E54" s="20" t="n">
        <v>0.8805579440501942</v>
      </c>
      <c r="F54" s="19">
        <f>-LN(1-E54)/$N$3</f>
        <v/>
      </c>
      <c r="G54" s="19">
        <f>MAX(D54,H53)</f>
        <v/>
      </c>
      <c r="H54" s="19">
        <f>G54+F54</f>
        <v/>
      </c>
      <c r="I54" s="19">
        <f>G54-D54</f>
        <v/>
      </c>
      <c r="J54" s="19">
        <f>H54-D54</f>
        <v/>
      </c>
      <c r="K54" s="19">
        <f>MAX(0,G54-H53)</f>
        <v/>
      </c>
    </row>
    <row r="55">
      <c r="A55" s="17" t="n">
        <v>50</v>
      </c>
      <c r="B55" s="18" t="n">
        <v>0.4329010185355702</v>
      </c>
      <c r="C55" s="19">
        <f>-LN(1-B55)/$N$2</f>
        <v/>
      </c>
      <c r="D55" s="19">
        <f>D54+C55</f>
        <v/>
      </c>
      <c r="E55" s="20" t="n">
        <v>0.3759517364158526</v>
      </c>
      <c r="F55" s="19">
        <f>-LN(1-E55)/$N$3</f>
        <v/>
      </c>
      <c r="G55" s="19">
        <f>MAX(D55,H54)</f>
        <v/>
      </c>
      <c r="H55" s="19">
        <f>G55+F55</f>
        <v/>
      </c>
      <c r="I55" s="19">
        <f>G55-D55</f>
        <v/>
      </c>
      <c r="J55" s="19">
        <f>H55-D55</f>
        <v/>
      </c>
      <c r="K55" s="19">
        <f>MAX(0,G55-H54)</f>
        <v/>
      </c>
    </row>
    <row r="56">
      <c r="A56" s="17" t="n">
        <v>51</v>
      </c>
      <c r="B56" s="18" t="n">
        <v>0.1646715879870595</v>
      </c>
      <c r="C56" s="19">
        <f>-LN(1-B56)/$N$2</f>
        <v/>
      </c>
      <c r="D56" s="19">
        <f>D55+C56</f>
        <v/>
      </c>
      <c r="E56" s="20" t="n">
        <v>0.8580114659852135</v>
      </c>
      <c r="F56" s="19">
        <f>-LN(1-E56)/$N$3</f>
        <v/>
      </c>
      <c r="G56" s="19">
        <f>MAX(D56,H55)</f>
        <v/>
      </c>
      <c r="H56" s="19">
        <f>G56+F56</f>
        <v/>
      </c>
      <c r="I56" s="19">
        <f>G56-D56</f>
        <v/>
      </c>
      <c r="J56" s="19">
        <f>H56-D56</f>
        <v/>
      </c>
      <c r="K56" s="19">
        <f>MAX(0,G56-H55)</f>
        <v/>
      </c>
    </row>
    <row r="57">
      <c r="A57" s="17" t="n">
        <v>52</v>
      </c>
      <c r="B57" s="18" t="n">
        <v>0.9288342200720791</v>
      </c>
      <c r="C57" s="19">
        <f>-LN(1-B57)/$N$2</f>
        <v/>
      </c>
      <c r="D57" s="19">
        <f>D56+C57</f>
        <v/>
      </c>
      <c r="E57" s="20" t="n">
        <v>0.3973150804196004</v>
      </c>
      <c r="F57" s="19">
        <f>-LN(1-E57)/$N$3</f>
        <v/>
      </c>
      <c r="G57" s="19">
        <f>MAX(D57,H56)</f>
        <v/>
      </c>
      <c r="H57" s="19">
        <f>G57+F57</f>
        <v/>
      </c>
      <c r="I57" s="19">
        <f>G57-D57</f>
        <v/>
      </c>
      <c r="J57" s="19">
        <f>H57-D57</f>
        <v/>
      </c>
      <c r="K57" s="19">
        <f>MAX(0,G57-H56)</f>
        <v/>
      </c>
    </row>
    <row r="58">
      <c r="A58" s="17" t="n">
        <v>53</v>
      </c>
      <c r="B58" s="18" t="n">
        <v>0.86317055762585</v>
      </c>
      <c r="C58" s="19">
        <f>-LN(1-B58)/$N$2</f>
        <v/>
      </c>
      <c r="D58" s="19">
        <f>D57+C58</f>
        <v/>
      </c>
      <c r="E58" s="20" t="n">
        <v>0.2543654442105168</v>
      </c>
      <c r="F58" s="19">
        <f>-LN(1-E58)/$N$3</f>
        <v/>
      </c>
      <c r="G58" s="19">
        <f>MAX(D58,H57)</f>
        <v/>
      </c>
      <c r="H58" s="19">
        <f>G58+F58</f>
        <v/>
      </c>
      <c r="I58" s="19">
        <f>G58-D58</f>
        <v/>
      </c>
      <c r="J58" s="19">
        <f>H58-D58</f>
        <v/>
      </c>
      <c r="K58" s="19">
        <f>MAX(0,G58-H57)</f>
        <v/>
      </c>
    </row>
    <row r="59">
      <c r="A59" s="17" t="n">
        <v>54</v>
      </c>
      <c r="B59" s="18" t="n">
        <v>0.6898028785376858</v>
      </c>
      <c r="C59" s="19">
        <f>-LN(1-B59)/$N$2</f>
        <v/>
      </c>
      <c r="D59" s="19">
        <f>D58+C59</f>
        <v/>
      </c>
      <c r="E59" s="20" t="n">
        <v>0.8006768657186822</v>
      </c>
      <c r="F59" s="19">
        <f>-LN(1-E59)/$N$3</f>
        <v/>
      </c>
      <c r="G59" s="19">
        <f>MAX(D59,H58)</f>
        <v/>
      </c>
      <c r="H59" s="19">
        <f>G59+F59</f>
        <v/>
      </c>
      <c r="I59" s="19">
        <f>G59-D59</f>
        <v/>
      </c>
      <c r="J59" s="19">
        <f>H59-D59</f>
        <v/>
      </c>
      <c r="K59" s="19">
        <f>MAX(0,G59-H58)</f>
        <v/>
      </c>
    </row>
    <row r="60">
      <c r="A60" s="17" t="n">
        <v>55</v>
      </c>
      <c r="B60" s="18" t="n">
        <v>0.996002337185831</v>
      </c>
      <c r="C60" s="19">
        <f>-LN(1-B60)/$N$2</f>
        <v/>
      </c>
      <c r="D60" s="19">
        <f>D59+C60</f>
        <v/>
      </c>
      <c r="E60" s="20" t="n">
        <v>0.9264522378063315</v>
      </c>
      <c r="F60" s="19">
        <f>-LN(1-E60)/$N$3</f>
        <v/>
      </c>
      <c r="G60" s="19">
        <f>MAX(D60,H59)</f>
        <v/>
      </c>
      <c r="H60" s="19">
        <f>G60+F60</f>
        <v/>
      </c>
      <c r="I60" s="19">
        <f>G60-D60</f>
        <v/>
      </c>
      <c r="J60" s="19">
        <f>H60-D60</f>
        <v/>
      </c>
      <c r="K60" s="19">
        <f>MAX(0,G60-H59)</f>
        <v/>
      </c>
    </row>
    <row r="61">
      <c r="A61" s="17" t="n">
        <v>56</v>
      </c>
      <c r="B61" s="18" t="n">
        <v>0.580361488674206</v>
      </c>
      <c r="C61" s="19">
        <f>-LN(1-B61)/$N$2</f>
        <v/>
      </c>
      <c r="D61" s="19">
        <f>D60+C61</f>
        <v/>
      </c>
      <c r="E61" s="20" t="n">
        <v>0.09170434312489084</v>
      </c>
      <c r="F61" s="19">
        <f>-LN(1-E61)/$N$3</f>
        <v/>
      </c>
      <c r="G61" s="19">
        <f>MAX(D61,H60)</f>
        <v/>
      </c>
      <c r="H61" s="19">
        <f>G61+F61</f>
        <v/>
      </c>
      <c r="I61" s="19">
        <f>G61-D61</f>
        <v/>
      </c>
      <c r="J61" s="19">
        <f>H61-D61</f>
        <v/>
      </c>
      <c r="K61" s="19">
        <f>MAX(0,G61-H60)</f>
        <v/>
      </c>
    </row>
    <row r="62">
      <c r="A62" s="17" t="n">
        <v>57</v>
      </c>
      <c r="B62" s="18" t="n">
        <v>0.344777444184001</v>
      </c>
      <c r="C62" s="19">
        <f>-LN(1-B62)/$N$2</f>
        <v/>
      </c>
      <c r="D62" s="19">
        <f>D61+C62</f>
        <v/>
      </c>
      <c r="E62" s="20" t="n">
        <v>0.8713096863925812</v>
      </c>
      <c r="F62" s="19">
        <f>-LN(1-E62)/$N$3</f>
        <v/>
      </c>
      <c r="G62" s="19">
        <f>MAX(D62,H61)</f>
        <v/>
      </c>
      <c r="H62" s="19">
        <f>G62+F62</f>
        <v/>
      </c>
      <c r="I62" s="19">
        <f>G62-D62</f>
        <v/>
      </c>
      <c r="J62" s="19">
        <f>H62-D62</f>
        <v/>
      </c>
      <c r="K62" s="19">
        <f>MAX(0,G62-H61)</f>
        <v/>
      </c>
    </row>
    <row r="63">
      <c r="A63" s="17" t="n">
        <v>58</v>
      </c>
      <c r="B63" s="18" t="n">
        <v>0.1163484670728785</v>
      </c>
      <c r="C63" s="19">
        <f>-LN(1-B63)/$N$2</f>
        <v/>
      </c>
      <c r="D63" s="19">
        <f>D62+C63</f>
        <v/>
      </c>
      <c r="E63" s="20" t="n">
        <v>0.31914609842139</v>
      </c>
      <c r="F63" s="19">
        <f>-LN(1-E63)/$N$3</f>
        <v/>
      </c>
      <c r="G63" s="19">
        <f>MAX(D63,H62)</f>
        <v/>
      </c>
      <c r="H63" s="19">
        <f>G63+F63</f>
        <v/>
      </c>
      <c r="I63" s="19">
        <f>G63-D63</f>
        <v/>
      </c>
      <c r="J63" s="19">
        <f>H63-D63</f>
        <v/>
      </c>
      <c r="K63" s="19">
        <f>MAX(0,G63-H62)</f>
        <v/>
      </c>
    </row>
    <row r="64">
      <c r="A64" s="17" t="n">
        <v>59</v>
      </c>
      <c r="B64" s="18" t="n">
        <v>0.6076857004451232</v>
      </c>
      <c r="C64" s="19">
        <f>-LN(1-B64)/$N$2</f>
        <v/>
      </c>
      <c r="D64" s="19">
        <f>D63+C64</f>
        <v/>
      </c>
      <c r="E64" s="20" t="n">
        <v>0.7744505792933609</v>
      </c>
      <c r="F64" s="19">
        <f>-LN(1-E64)/$N$3</f>
        <v/>
      </c>
      <c r="G64" s="19">
        <f>MAX(D64,H63)</f>
        <v/>
      </c>
      <c r="H64" s="19">
        <f>G64+F64</f>
        <v/>
      </c>
      <c r="I64" s="19">
        <f>G64-D64</f>
        <v/>
      </c>
      <c r="J64" s="19">
        <f>H64-D64</f>
        <v/>
      </c>
      <c r="K64" s="19">
        <f>MAX(0,G64-H63)</f>
        <v/>
      </c>
    </row>
    <row r="65">
      <c r="A65" s="17" t="n">
        <v>60</v>
      </c>
      <c r="B65" s="18" t="n">
        <v>0.5194882615908716</v>
      </c>
      <c r="C65" s="19">
        <f>-LN(1-B65)/$N$2</f>
        <v/>
      </c>
      <c r="D65" s="19">
        <f>D64+C65</f>
        <v/>
      </c>
      <c r="E65" s="20" t="n">
        <v>0.2929328862621213</v>
      </c>
      <c r="F65" s="19">
        <f>-LN(1-E65)/$N$3</f>
        <v/>
      </c>
      <c r="G65" s="19">
        <f>MAX(D65,H64)</f>
        <v/>
      </c>
      <c r="H65" s="19">
        <f>G65+F65</f>
        <v/>
      </c>
      <c r="I65" s="19">
        <f>G65-D65</f>
        <v/>
      </c>
      <c r="J65" s="19">
        <f>H65-D65</f>
        <v/>
      </c>
      <c r="K65" s="19">
        <f>MAX(0,G65-H64)</f>
        <v/>
      </c>
    </row>
    <row r="66">
      <c r="A66" s="17" t="n">
        <v>61</v>
      </c>
      <c r="B66" s="18" t="n">
        <v>0.4364371014559683</v>
      </c>
      <c r="C66" s="19">
        <f>-LN(1-B66)/$N$2</f>
        <v/>
      </c>
      <c r="D66" s="19">
        <f>D65+C66</f>
        <v/>
      </c>
      <c r="E66" s="20" t="n">
        <v>0.9902371383280626</v>
      </c>
      <c r="F66" s="19">
        <f>-LN(1-E66)/$N$3</f>
        <v/>
      </c>
      <c r="G66" s="19">
        <f>MAX(D66,H65)</f>
        <v/>
      </c>
      <c r="H66" s="19">
        <f>G66+F66</f>
        <v/>
      </c>
      <c r="I66" s="19">
        <f>G66-D66</f>
        <v/>
      </c>
      <c r="J66" s="19">
        <f>H66-D66</f>
        <v/>
      </c>
      <c r="K66" s="19">
        <f>MAX(0,G66-H65)</f>
        <v/>
      </c>
    </row>
    <row r="67">
      <c r="A67" s="17" t="n">
        <v>62</v>
      </c>
      <c r="B67" s="18" t="n">
        <v>0.9926348490441296</v>
      </c>
      <c r="C67" s="19">
        <f>-LN(1-B67)/$N$2</f>
        <v/>
      </c>
      <c r="D67" s="19">
        <f>D66+C67</f>
        <v/>
      </c>
      <c r="E67" s="20" t="n">
        <v>0.3366523785902116</v>
      </c>
      <c r="F67" s="19">
        <f>-LN(1-E67)/$N$3</f>
        <v/>
      </c>
      <c r="G67" s="19">
        <f>MAX(D67,H66)</f>
        <v/>
      </c>
      <c r="H67" s="19">
        <f>G67+F67</f>
        <v/>
      </c>
      <c r="I67" s="19">
        <f>G67-D67</f>
        <v/>
      </c>
      <c r="J67" s="19">
        <f>H67-D67</f>
        <v/>
      </c>
      <c r="K67" s="19">
        <f>MAX(0,G67-H66)</f>
        <v/>
      </c>
    </row>
    <row r="68">
      <c r="A68" s="17" t="n">
        <v>63</v>
      </c>
      <c r="B68" s="18" t="n">
        <v>0.839482546456112</v>
      </c>
      <c r="C68" s="19">
        <f>-LN(1-B68)/$N$2</f>
        <v/>
      </c>
      <c r="D68" s="19">
        <f>D67+C68</f>
        <v/>
      </c>
      <c r="E68" s="20" t="n">
        <v>0.2065654517963952</v>
      </c>
      <c r="F68" s="19">
        <f>-LN(1-E68)/$N$3</f>
        <v/>
      </c>
      <c r="G68" s="19">
        <f>MAX(D68,H67)</f>
        <v/>
      </c>
      <c r="H68" s="19">
        <f>G68+F68</f>
        <v/>
      </c>
      <c r="I68" s="19">
        <f>G68-D68</f>
        <v/>
      </c>
      <c r="J68" s="19">
        <f>H68-D68</f>
        <v/>
      </c>
      <c r="K68" s="19">
        <f>MAX(0,G68-H67)</f>
        <v/>
      </c>
    </row>
    <row r="69">
      <c r="A69" s="17" t="n">
        <v>64</v>
      </c>
      <c r="B69" s="18" t="n">
        <v>0.1148314459915483</v>
      </c>
      <c r="C69" s="19">
        <f>-LN(1-B69)/$N$2</f>
        <v/>
      </c>
      <c r="D69" s="19">
        <f>D68+C69</f>
        <v/>
      </c>
      <c r="E69" s="20" t="n">
        <v>0.05238408109689141</v>
      </c>
      <c r="F69" s="19">
        <f>-LN(1-E69)/$N$3</f>
        <v/>
      </c>
      <c r="G69" s="19">
        <f>MAX(D69,H68)</f>
        <v/>
      </c>
      <c r="H69" s="19">
        <f>G69+F69</f>
        <v/>
      </c>
      <c r="I69" s="19">
        <f>G69-D69</f>
        <v/>
      </c>
      <c r="J69" s="19">
        <f>H69-D69</f>
        <v/>
      </c>
      <c r="K69" s="19">
        <f>MAX(0,G69-H68)</f>
        <v/>
      </c>
    </row>
    <row r="70">
      <c r="A70" s="17" t="n">
        <v>65</v>
      </c>
      <c r="B70" s="18" t="n">
        <v>0.8842136658242266</v>
      </c>
      <c r="C70" s="19">
        <f>-LN(1-B70)/$N$2</f>
        <v/>
      </c>
      <c r="D70" s="19">
        <f>D69+C70</f>
        <v/>
      </c>
      <c r="E70" s="20" t="n">
        <v>0.1348911969184767</v>
      </c>
      <c r="F70" s="19">
        <f>-LN(1-E70)/$N$3</f>
        <v/>
      </c>
      <c r="G70" s="19">
        <f>MAX(D70,H69)</f>
        <v/>
      </c>
      <c r="H70" s="19">
        <f>G70+F70</f>
        <v/>
      </c>
      <c r="I70" s="19">
        <f>G70-D70</f>
        <v/>
      </c>
      <c r="J70" s="19">
        <f>H70-D70</f>
        <v/>
      </c>
      <c r="K70" s="19">
        <f>MAX(0,G70-H69)</f>
        <v/>
      </c>
    </row>
    <row r="71">
      <c r="A71" s="17" t="n">
        <v>66</v>
      </c>
      <c r="B71" s="18" t="n">
        <v>0.001999801471977869</v>
      </c>
      <c r="C71" s="19">
        <f>-LN(1-B71)/$N$2</f>
        <v/>
      </c>
      <c r="D71" s="19">
        <f>D70+C71</f>
        <v/>
      </c>
      <c r="E71" s="20" t="n">
        <v>0.09124375692471809</v>
      </c>
      <c r="F71" s="19">
        <f>-LN(1-E71)/$N$3</f>
        <v/>
      </c>
      <c r="G71" s="19">
        <f>MAX(D71,H70)</f>
        <v/>
      </c>
      <c r="H71" s="19">
        <f>G71+F71</f>
        <v/>
      </c>
      <c r="I71" s="19">
        <f>G71-D71</f>
        <v/>
      </c>
      <c r="J71" s="19">
        <f>H71-D71</f>
        <v/>
      </c>
      <c r="K71" s="19">
        <f>MAX(0,G71-H70)</f>
        <v/>
      </c>
    </row>
    <row r="72">
      <c r="A72" s="17" t="n">
        <v>67</v>
      </c>
      <c r="B72" s="18" t="n">
        <v>0.6514662265655137</v>
      </c>
      <c r="C72" s="19">
        <f>-LN(1-B72)/$N$2</f>
        <v/>
      </c>
      <c r="D72" s="19">
        <f>D71+C72</f>
        <v/>
      </c>
      <c r="E72" s="20" t="n">
        <v>0.82000265544174</v>
      </c>
      <c r="F72" s="19">
        <f>-LN(1-E72)/$N$3</f>
        <v/>
      </c>
      <c r="G72" s="19">
        <f>MAX(D72,H71)</f>
        <v/>
      </c>
      <c r="H72" s="19">
        <f>G72+F72</f>
        <v/>
      </c>
      <c r="I72" s="19">
        <f>G72-D72</f>
        <v/>
      </c>
      <c r="J72" s="19">
        <f>H72-D72</f>
        <v/>
      </c>
      <c r="K72" s="19">
        <f>MAX(0,G72-H71)</f>
        <v/>
      </c>
    </row>
    <row r="73">
      <c r="A73" s="17" t="n">
        <v>68</v>
      </c>
      <c r="B73" s="18" t="n">
        <v>0.3153267254849371</v>
      </c>
      <c r="C73" s="19">
        <f>-LN(1-B73)/$N$2</f>
        <v/>
      </c>
      <c r="D73" s="19">
        <f>D72+C73</f>
        <v/>
      </c>
      <c r="E73" s="20" t="n">
        <v>0.02018176585844789</v>
      </c>
      <c r="F73" s="19">
        <f>-LN(1-E73)/$N$3</f>
        <v/>
      </c>
      <c r="G73" s="19">
        <f>MAX(D73,H72)</f>
        <v/>
      </c>
      <c r="H73" s="19">
        <f>G73+F73</f>
        <v/>
      </c>
      <c r="I73" s="19">
        <f>G73-D73</f>
        <v/>
      </c>
      <c r="J73" s="19">
        <f>H73-D73</f>
        <v/>
      </c>
      <c r="K73" s="19">
        <f>MAX(0,G73-H72)</f>
        <v/>
      </c>
    </row>
    <row r="74">
      <c r="A74" s="17" t="n">
        <v>69</v>
      </c>
      <c r="B74" s="18" t="n">
        <v>0.7297849536098223</v>
      </c>
      <c r="C74" s="19">
        <f>-LN(1-B74)/$N$2</f>
        <v/>
      </c>
      <c r="D74" s="19">
        <f>D73+C74</f>
        <v/>
      </c>
      <c r="E74" s="20" t="n">
        <v>0.1179501002805845</v>
      </c>
      <c r="F74" s="19">
        <f>-LN(1-E74)/$N$3</f>
        <v/>
      </c>
      <c r="G74" s="19">
        <f>MAX(D74,H73)</f>
        <v/>
      </c>
      <c r="H74" s="19">
        <f>G74+F74</f>
        <v/>
      </c>
      <c r="I74" s="19">
        <f>G74-D74</f>
        <v/>
      </c>
      <c r="J74" s="19">
        <f>H74-D74</f>
        <v/>
      </c>
      <c r="K74" s="19">
        <f>MAX(0,G74-H73)</f>
        <v/>
      </c>
    </row>
    <row r="75">
      <c r="A75" s="17" t="n">
        <v>70</v>
      </c>
      <c r="B75" s="18" t="n">
        <v>0.9525361095175513</v>
      </c>
      <c r="C75" s="19">
        <f>-LN(1-B75)/$N$2</f>
        <v/>
      </c>
      <c r="D75" s="19">
        <f>D74+C75</f>
        <v/>
      </c>
      <c r="E75" s="20" t="n">
        <v>0.23956203864396</v>
      </c>
      <c r="F75" s="19">
        <f>-LN(1-E75)/$N$3</f>
        <v/>
      </c>
      <c r="G75" s="19">
        <f>MAX(D75,H74)</f>
        <v/>
      </c>
      <c r="H75" s="19">
        <f>G75+F75</f>
        <v/>
      </c>
      <c r="I75" s="19">
        <f>G75-D75</f>
        <v/>
      </c>
      <c r="J75" s="19">
        <f>H75-D75</f>
        <v/>
      </c>
      <c r="K75" s="19">
        <f>MAX(0,G75-H74)</f>
        <v/>
      </c>
    </row>
    <row r="76">
      <c r="A76" s="17" t="n">
        <v>71</v>
      </c>
      <c r="B76" s="18" t="n">
        <v>0.5303485375382422</v>
      </c>
      <c r="C76" s="19">
        <f>-LN(1-B76)/$N$2</f>
        <v/>
      </c>
      <c r="D76" s="19">
        <f>D75+C76</f>
        <v/>
      </c>
      <c r="E76" s="20" t="n">
        <v>0.1416828877919738</v>
      </c>
      <c r="F76" s="19">
        <f>-LN(1-E76)/$N$3</f>
        <v/>
      </c>
      <c r="G76" s="19">
        <f>MAX(D76,H75)</f>
        <v/>
      </c>
      <c r="H76" s="19">
        <f>G76+F76</f>
        <v/>
      </c>
      <c r="I76" s="19">
        <f>G76-D76</f>
        <v/>
      </c>
      <c r="J76" s="19">
        <f>H76-D76</f>
        <v/>
      </c>
      <c r="K76" s="19">
        <f>MAX(0,G76-H75)</f>
        <v/>
      </c>
    </row>
    <row r="77">
      <c r="A77" s="17" t="n">
        <v>72</v>
      </c>
      <c r="B77" s="18" t="n">
        <v>0.7629183137824653</v>
      </c>
      <c r="C77" s="19">
        <f>-LN(1-B77)/$N$2</f>
        <v/>
      </c>
      <c r="D77" s="19">
        <f>D76+C77</f>
        <v/>
      </c>
      <c r="E77" s="20" t="n">
        <v>0.775599015715452</v>
      </c>
      <c r="F77" s="19">
        <f>-LN(1-E77)/$N$3</f>
        <v/>
      </c>
      <c r="G77" s="19">
        <f>MAX(D77,H76)</f>
        <v/>
      </c>
      <c r="H77" s="19">
        <f>G77+F77</f>
        <v/>
      </c>
      <c r="I77" s="19">
        <f>G77-D77</f>
        <v/>
      </c>
      <c r="J77" s="19">
        <f>H77-D77</f>
        <v/>
      </c>
      <c r="K77" s="19">
        <f>MAX(0,G77-H76)</f>
        <v/>
      </c>
    </row>
    <row r="78">
      <c r="A78" s="17" t="n">
        <v>73</v>
      </c>
      <c r="B78" s="18" t="n">
        <v>0.05435947206484659</v>
      </c>
      <c r="C78" s="19">
        <f>-LN(1-B78)/$N$2</f>
        <v/>
      </c>
      <c r="D78" s="19">
        <f>D77+C78</f>
        <v/>
      </c>
      <c r="E78" s="20" t="n">
        <v>0.00668032571469801</v>
      </c>
      <c r="F78" s="19">
        <f>-LN(1-E78)/$N$3</f>
        <v/>
      </c>
      <c r="G78" s="19">
        <f>MAX(D78,H77)</f>
        <v/>
      </c>
      <c r="H78" s="19">
        <f>G78+F78</f>
        <v/>
      </c>
      <c r="I78" s="19">
        <f>G78-D78</f>
        <v/>
      </c>
      <c r="J78" s="19">
        <f>H78-D78</f>
        <v/>
      </c>
      <c r="K78" s="19">
        <f>MAX(0,G78-H77)</f>
        <v/>
      </c>
    </row>
    <row r="79">
      <c r="A79" s="17" t="n">
        <v>74</v>
      </c>
      <c r="B79" s="18" t="n">
        <v>0.6673448396034195</v>
      </c>
      <c r="C79" s="19">
        <f>-LN(1-B79)/$N$2</f>
        <v/>
      </c>
      <c r="D79" s="19">
        <f>D78+C79</f>
        <v/>
      </c>
      <c r="E79" s="20" t="n">
        <v>0.6813527372734458</v>
      </c>
      <c r="F79" s="19">
        <f>-LN(1-E79)/$N$3</f>
        <v/>
      </c>
      <c r="G79" s="19">
        <f>MAX(D79,H78)</f>
        <v/>
      </c>
      <c r="H79" s="19">
        <f>G79+F79</f>
        <v/>
      </c>
      <c r="I79" s="19">
        <f>G79-D79</f>
        <v/>
      </c>
      <c r="J79" s="19">
        <f>H79-D79</f>
        <v/>
      </c>
      <c r="K79" s="19">
        <f>MAX(0,G79-H78)</f>
        <v/>
      </c>
    </row>
    <row r="80">
      <c r="A80" s="17" t="n">
        <v>75</v>
      </c>
      <c r="B80" s="18" t="n">
        <v>0.1175458501136227</v>
      </c>
      <c r="C80" s="19">
        <f>-LN(1-B80)/$N$2</f>
        <v/>
      </c>
      <c r="D80" s="19">
        <f>D79+C80</f>
        <v/>
      </c>
      <c r="E80" s="20" t="n">
        <v>0.3499107102330853</v>
      </c>
      <c r="F80" s="19">
        <f>-LN(1-E80)/$N$3</f>
        <v/>
      </c>
      <c r="G80" s="19">
        <f>MAX(D80,H79)</f>
        <v/>
      </c>
      <c r="H80" s="19">
        <f>G80+F80</f>
        <v/>
      </c>
      <c r="I80" s="19">
        <f>G80-D80</f>
        <v/>
      </c>
      <c r="J80" s="19">
        <f>H80-D80</f>
        <v/>
      </c>
      <c r="K80" s="19">
        <f>MAX(0,G80-H79)</f>
        <v/>
      </c>
    </row>
    <row r="81">
      <c r="A81" s="17" t="n">
        <v>76</v>
      </c>
      <c r="B81" s="18" t="n">
        <v>0.4552236613428232</v>
      </c>
      <c r="C81" s="19">
        <f>-LN(1-B81)/$N$2</f>
        <v/>
      </c>
      <c r="D81" s="19">
        <f>D80+C81</f>
        <v/>
      </c>
      <c r="E81" s="20" t="n">
        <v>0.1466562823870649</v>
      </c>
      <c r="F81" s="19">
        <f>-LN(1-E81)/$N$3</f>
        <v/>
      </c>
      <c r="G81" s="19">
        <f>MAX(D81,H80)</f>
        <v/>
      </c>
      <c r="H81" s="19">
        <f>G81+F81</f>
        <v/>
      </c>
      <c r="I81" s="19">
        <f>G81-D81</f>
        <v/>
      </c>
      <c r="J81" s="19">
        <f>H81-D81</f>
        <v/>
      </c>
      <c r="K81" s="19">
        <f>MAX(0,G81-H80)</f>
        <v/>
      </c>
    </row>
    <row r="82">
      <c r="A82" s="17" t="n">
        <v>77</v>
      </c>
      <c r="B82" s="18" t="n">
        <v>0.3335269466986718</v>
      </c>
      <c r="C82" s="19">
        <f>-LN(1-B82)/$N$2</f>
        <v/>
      </c>
      <c r="D82" s="19">
        <f>D81+C82</f>
        <v/>
      </c>
      <c r="E82" s="20" t="n">
        <v>0.2297197687075917</v>
      </c>
      <c r="F82" s="19">
        <f>-LN(1-E82)/$N$3</f>
        <v/>
      </c>
      <c r="G82" s="19">
        <f>MAX(D82,H81)</f>
        <v/>
      </c>
      <c r="H82" s="19">
        <f>G82+F82</f>
        <v/>
      </c>
      <c r="I82" s="19">
        <f>G82-D82</f>
        <v/>
      </c>
      <c r="J82" s="19">
        <f>H82-D82</f>
        <v/>
      </c>
      <c r="K82" s="19">
        <f>MAX(0,G82-H81)</f>
        <v/>
      </c>
    </row>
    <row r="83">
      <c r="A83" s="17" t="n">
        <v>78</v>
      </c>
      <c r="B83" s="18" t="n">
        <v>0.07310229967403992</v>
      </c>
      <c r="C83" s="19">
        <f>-LN(1-B83)/$N$2</f>
        <v/>
      </c>
      <c r="D83" s="19">
        <f>D82+C83</f>
        <v/>
      </c>
      <c r="E83" s="20" t="n">
        <v>0.5264274138880426</v>
      </c>
      <c r="F83" s="19">
        <f>-LN(1-E83)/$N$3</f>
        <v/>
      </c>
      <c r="G83" s="19">
        <f>MAX(D83,H82)</f>
        <v/>
      </c>
      <c r="H83" s="19">
        <f>G83+F83</f>
        <v/>
      </c>
      <c r="I83" s="19">
        <f>G83-D83</f>
        <v/>
      </c>
      <c r="J83" s="19">
        <f>H83-D83</f>
        <v/>
      </c>
      <c r="K83" s="19">
        <f>MAX(0,G83-H82)</f>
        <v/>
      </c>
    </row>
    <row r="84">
      <c r="A84" s="17" t="n">
        <v>79</v>
      </c>
      <c r="B84" s="18" t="n">
        <v>0.7472387262329555</v>
      </c>
      <c r="C84" s="19">
        <f>-LN(1-B84)/$N$2</f>
        <v/>
      </c>
      <c r="D84" s="19">
        <f>D83+C84</f>
        <v/>
      </c>
      <c r="E84" s="20" t="n">
        <v>0.2471945354611372</v>
      </c>
      <c r="F84" s="19">
        <f>-LN(1-E84)/$N$3</f>
        <v/>
      </c>
      <c r="G84" s="19">
        <f>MAX(D84,H83)</f>
        <v/>
      </c>
      <c r="H84" s="19">
        <f>G84+F84</f>
        <v/>
      </c>
      <c r="I84" s="19">
        <f>G84-D84</f>
        <v/>
      </c>
      <c r="J84" s="19">
        <f>H84-D84</f>
        <v/>
      </c>
      <c r="K84" s="19">
        <f>MAX(0,G84-H83)</f>
        <v/>
      </c>
    </row>
    <row r="85">
      <c r="A85" s="17" t="n">
        <v>80</v>
      </c>
      <c r="B85" s="18" t="n">
        <v>0.09326257059559717</v>
      </c>
      <c r="C85" s="19">
        <f>-LN(1-B85)/$N$2</f>
        <v/>
      </c>
      <c r="D85" s="19">
        <f>D84+C85</f>
        <v/>
      </c>
      <c r="E85" s="20" t="n">
        <v>0.3911612106796616</v>
      </c>
      <c r="F85" s="19">
        <f>-LN(1-E85)/$N$3</f>
        <v/>
      </c>
      <c r="G85" s="19">
        <f>MAX(D85,H84)</f>
        <v/>
      </c>
      <c r="H85" s="19">
        <f>G85+F85</f>
        <v/>
      </c>
      <c r="I85" s="19">
        <f>G85-D85</f>
        <v/>
      </c>
      <c r="J85" s="19">
        <f>H85-D85</f>
        <v/>
      </c>
      <c r="K85" s="19">
        <f>MAX(0,G85-H84)</f>
        <v/>
      </c>
    </row>
    <row r="86">
      <c r="A86" s="17" t="n">
        <v>81</v>
      </c>
      <c r="B86" s="18" t="n">
        <v>0.2573114979468026</v>
      </c>
      <c r="C86" s="19">
        <f>-LN(1-B86)/$N$2</f>
        <v/>
      </c>
      <c r="D86" s="19">
        <f>D85+C86</f>
        <v/>
      </c>
      <c r="E86" s="20" t="n">
        <v>0.388138999719812</v>
      </c>
      <c r="F86" s="19">
        <f>-LN(1-E86)/$N$3</f>
        <v/>
      </c>
      <c r="G86" s="19">
        <f>MAX(D86,H85)</f>
        <v/>
      </c>
      <c r="H86" s="19">
        <f>G86+F86</f>
        <v/>
      </c>
      <c r="I86" s="19">
        <f>G86-D86</f>
        <v/>
      </c>
      <c r="J86" s="19">
        <f>H86-D86</f>
        <v/>
      </c>
      <c r="K86" s="19">
        <f>MAX(0,G86-H85)</f>
        <v/>
      </c>
    </row>
    <row r="87">
      <c r="A87" s="17" t="n">
        <v>82</v>
      </c>
      <c r="B87" s="18" t="n">
        <v>0.08591818776871507</v>
      </c>
      <c r="C87" s="19">
        <f>-LN(1-B87)/$N$2</f>
        <v/>
      </c>
      <c r="D87" s="19">
        <f>D86+C87</f>
        <v/>
      </c>
      <c r="E87" s="20" t="n">
        <v>0.5360607567496201</v>
      </c>
      <c r="F87" s="19">
        <f>-LN(1-E87)/$N$3</f>
        <v/>
      </c>
      <c r="G87" s="19">
        <f>MAX(D87,H86)</f>
        <v/>
      </c>
      <c r="H87" s="19">
        <f>G87+F87</f>
        <v/>
      </c>
      <c r="I87" s="19">
        <f>G87-D87</f>
        <v/>
      </c>
      <c r="J87" s="19">
        <f>H87-D87</f>
        <v/>
      </c>
      <c r="K87" s="19">
        <f>MAX(0,G87-H86)</f>
        <v/>
      </c>
    </row>
    <row r="88">
      <c r="A88" s="17" t="n">
        <v>83</v>
      </c>
      <c r="B88" s="18" t="n">
        <v>0.6622788070228112</v>
      </c>
      <c r="C88" s="19">
        <f>-LN(1-B88)/$N$2</f>
        <v/>
      </c>
      <c r="D88" s="19">
        <f>D87+C88</f>
        <v/>
      </c>
      <c r="E88" s="20" t="n">
        <v>0.7021918662544288</v>
      </c>
      <c r="F88" s="19">
        <f>-LN(1-E88)/$N$3</f>
        <v/>
      </c>
      <c r="G88" s="19">
        <f>MAX(D88,H87)</f>
        <v/>
      </c>
      <c r="H88" s="19">
        <f>G88+F88</f>
        <v/>
      </c>
      <c r="I88" s="19">
        <f>G88-D88</f>
        <v/>
      </c>
      <c r="J88" s="19">
        <f>H88-D88</f>
        <v/>
      </c>
      <c r="K88" s="19">
        <f>MAX(0,G88-H87)</f>
        <v/>
      </c>
    </row>
    <row r="89">
      <c r="A89" s="17" t="n">
        <v>84</v>
      </c>
      <c r="B89" s="18" t="n">
        <v>0.3010089521381561</v>
      </c>
      <c r="C89" s="19">
        <f>-LN(1-B89)/$N$2</f>
        <v/>
      </c>
      <c r="D89" s="19">
        <f>D88+C89</f>
        <v/>
      </c>
      <c r="E89" s="20" t="n">
        <v>0.2906151600622536</v>
      </c>
      <c r="F89" s="19">
        <f>-LN(1-E89)/$N$3</f>
        <v/>
      </c>
      <c r="G89" s="19">
        <f>MAX(D89,H88)</f>
        <v/>
      </c>
      <c r="H89" s="19">
        <f>G89+F89</f>
        <v/>
      </c>
      <c r="I89" s="19">
        <f>G89-D89</f>
        <v/>
      </c>
      <c r="J89" s="19">
        <f>H89-D89</f>
        <v/>
      </c>
      <c r="K89" s="19">
        <f>MAX(0,G89-H88)</f>
        <v/>
      </c>
    </row>
    <row r="90">
      <c r="A90" s="17" t="n">
        <v>85</v>
      </c>
      <c r="B90" s="18" t="n">
        <v>0.04432105114779628</v>
      </c>
      <c r="C90" s="19">
        <f>-LN(1-B90)/$N$2</f>
        <v/>
      </c>
      <c r="D90" s="19">
        <f>D89+C90</f>
        <v/>
      </c>
      <c r="E90" s="20" t="n">
        <v>0.609076840050526</v>
      </c>
      <c r="F90" s="19">
        <f>-LN(1-E90)/$N$3</f>
        <v/>
      </c>
      <c r="G90" s="19">
        <f>MAX(D90,H89)</f>
        <v/>
      </c>
      <c r="H90" s="19">
        <f>G90+F90</f>
        <v/>
      </c>
      <c r="I90" s="19">
        <f>G90-D90</f>
        <v/>
      </c>
      <c r="J90" s="19">
        <f>H90-D90</f>
        <v/>
      </c>
      <c r="K90" s="19">
        <f>MAX(0,G90-H89)</f>
        <v/>
      </c>
    </row>
    <row r="91">
      <c r="A91" s="17" t="n">
        <v>86</v>
      </c>
      <c r="B91" s="18" t="n">
        <v>0.0271444782197513</v>
      </c>
      <c r="C91" s="19">
        <f>-LN(1-B91)/$N$2</f>
        <v/>
      </c>
      <c r="D91" s="19">
        <f>D90+C91</f>
        <v/>
      </c>
      <c r="E91" s="20" t="n">
        <v>0.7149123697931451</v>
      </c>
      <c r="F91" s="19">
        <f>-LN(1-E91)/$N$3</f>
        <v/>
      </c>
      <c r="G91" s="19">
        <f>MAX(D91,H90)</f>
        <v/>
      </c>
      <c r="H91" s="19">
        <f>G91+F91</f>
        <v/>
      </c>
      <c r="I91" s="19">
        <f>G91-D91</f>
        <v/>
      </c>
      <c r="J91" s="19">
        <f>H91-D91</f>
        <v/>
      </c>
      <c r="K91" s="19">
        <f>MAX(0,G91-H90)</f>
        <v/>
      </c>
    </row>
    <row r="92">
      <c r="A92" s="17" t="n">
        <v>87</v>
      </c>
      <c r="B92" s="18" t="n">
        <v>0.2196359747136399</v>
      </c>
      <c r="C92" s="19">
        <f>-LN(1-B92)/$N$2</f>
        <v/>
      </c>
      <c r="D92" s="19">
        <f>D91+C92</f>
        <v/>
      </c>
      <c r="E92" s="20" t="n">
        <v>0.2965017007340186</v>
      </c>
      <c r="F92" s="19">
        <f>-LN(1-E92)/$N$3</f>
        <v/>
      </c>
      <c r="G92" s="19">
        <f>MAX(D92,H91)</f>
        <v/>
      </c>
      <c r="H92" s="19">
        <f>G92+F92</f>
        <v/>
      </c>
      <c r="I92" s="19">
        <f>G92-D92</f>
        <v/>
      </c>
      <c r="J92" s="19">
        <f>H92-D92</f>
        <v/>
      </c>
      <c r="K92" s="19">
        <f>MAX(0,G92-H91)</f>
        <v/>
      </c>
    </row>
    <row r="93">
      <c r="A93" s="17" t="n">
        <v>88</v>
      </c>
      <c r="B93" s="18" t="n">
        <v>0.5066402085183497</v>
      </c>
      <c r="C93" s="19">
        <f>-LN(1-B93)/$N$2</f>
        <v/>
      </c>
      <c r="D93" s="19">
        <f>D92+C93</f>
        <v/>
      </c>
      <c r="E93" s="20" t="n">
        <v>0.7641554085272865</v>
      </c>
      <c r="F93" s="19">
        <f>-LN(1-E93)/$N$3</f>
        <v/>
      </c>
      <c r="G93" s="19">
        <f>MAX(D93,H92)</f>
        <v/>
      </c>
      <c r="H93" s="19">
        <f>G93+F93</f>
        <v/>
      </c>
      <c r="I93" s="19">
        <f>G93-D93</f>
        <v/>
      </c>
      <c r="J93" s="19">
        <f>H93-D93</f>
        <v/>
      </c>
      <c r="K93" s="19">
        <f>MAX(0,G93-H92)</f>
        <v/>
      </c>
    </row>
    <row r="94">
      <c r="A94" s="17" t="n">
        <v>89</v>
      </c>
      <c r="B94" s="18" t="n">
        <v>0.01215339568676665</v>
      </c>
      <c r="C94" s="19">
        <f>-LN(1-B94)/$N$2</f>
        <v/>
      </c>
      <c r="D94" s="19">
        <f>D93+C94</f>
        <v/>
      </c>
      <c r="E94" s="20" t="n">
        <v>0.08319382111900764</v>
      </c>
      <c r="F94" s="19">
        <f>-LN(1-E94)/$N$3</f>
        <v/>
      </c>
      <c r="G94" s="19">
        <f>MAX(D94,H93)</f>
        <v/>
      </c>
      <c r="H94" s="19">
        <f>G94+F94</f>
        <v/>
      </c>
      <c r="I94" s="19">
        <f>G94-D94</f>
        <v/>
      </c>
      <c r="J94" s="19">
        <f>H94-D94</f>
        <v/>
      </c>
      <c r="K94" s="19">
        <f>MAX(0,G94-H93)</f>
        <v/>
      </c>
    </row>
    <row r="95">
      <c r="A95" s="17" t="n">
        <v>90</v>
      </c>
      <c r="B95" s="18" t="n">
        <v>0.02378509883243207</v>
      </c>
      <c r="C95" s="19">
        <f>-LN(1-B95)/$N$2</f>
        <v/>
      </c>
      <c r="D95" s="19">
        <f>D94+C95</f>
        <v/>
      </c>
      <c r="E95" s="20" t="n">
        <v>0.4933567663182341</v>
      </c>
      <c r="F95" s="19">
        <f>-LN(1-E95)/$N$3</f>
        <v/>
      </c>
      <c r="G95" s="19">
        <f>MAX(D95,H94)</f>
        <v/>
      </c>
      <c r="H95" s="19">
        <f>G95+F95</f>
        <v/>
      </c>
      <c r="I95" s="19">
        <f>G95-D95</f>
        <v/>
      </c>
      <c r="J95" s="19">
        <f>H95-D95</f>
        <v/>
      </c>
      <c r="K95" s="19">
        <f>MAX(0,G95-H94)</f>
        <v/>
      </c>
    </row>
    <row r="96">
      <c r="A96" s="17" t="n">
        <v>91</v>
      </c>
      <c r="B96" s="18" t="n">
        <v>0.666572174018176</v>
      </c>
      <c r="C96" s="19">
        <f>-LN(1-B96)/$N$2</f>
        <v/>
      </c>
      <c r="D96" s="19">
        <f>D95+C96</f>
        <v/>
      </c>
      <c r="E96" s="20" t="n">
        <v>0.3525160457111609</v>
      </c>
      <c r="F96" s="19">
        <f>-LN(1-E96)/$N$3</f>
        <v/>
      </c>
      <c r="G96" s="19">
        <f>MAX(D96,H95)</f>
        <v/>
      </c>
      <c r="H96" s="19">
        <f>G96+F96</f>
        <v/>
      </c>
      <c r="I96" s="19">
        <f>G96-D96</f>
        <v/>
      </c>
      <c r="J96" s="19">
        <f>H96-D96</f>
        <v/>
      </c>
      <c r="K96" s="19">
        <f>MAX(0,G96-H95)</f>
        <v/>
      </c>
    </row>
    <row r="97">
      <c r="A97" s="17" t="n">
        <v>92</v>
      </c>
      <c r="B97" s="18" t="n">
        <v>0.5272984496969964</v>
      </c>
      <c r="C97" s="19">
        <f>-LN(1-B97)/$N$2</f>
        <v/>
      </c>
      <c r="D97" s="19">
        <f>D96+C97</f>
        <v/>
      </c>
      <c r="E97" s="20" t="n">
        <v>0.1256445382916391</v>
      </c>
      <c r="F97" s="19">
        <f>-LN(1-E97)/$N$3</f>
        <v/>
      </c>
      <c r="G97" s="19">
        <f>MAX(D97,H96)</f>
        <v/>
      </c>
      <c r="H97" s="19">
        <f>G97+F97</f>
        <v/>
      </c>
      <c r="I97" s="19">
        <f>G97-D97</f>
        <v/>
      </c>
      <c r="J97" s="19">
        <f>H97-D97</f>
        <v/>
      </c>
      <c r="K97" s="19">
        <f>MAX(0,G97-H96)</f>
        <v/>
      </c>
    </row>
    <row r="98">
      <c r="A98" s="17" t="n">
        <v>93</v>
      </c>
      <c r="B98" s="18" t="n">
        <v>0.1351307846003219</v>
      </c>
      <c r="C98" s="19">
        <f>-LN(1-B98)/$N$2</f>
        <v/>
      </c>
      <c r="D98" s="19">
        <f>D97+C98</f>
        <v/>
      </c>
      <c r="E98" s="20" t="n">
        <v>0.6591936330179765</v>
      </c>
      <c r="F98" s="19">
        <f>-LN(1-E98)/$N$3</f>
        <v/>
      </c>
      <c r="G98" s="19">
        <f>MAX(D98,H97)</f>
        <v/>
      </c>
      <c r="H98" s="19">
        <f>G98+F98</f>
        <v/>
      </c>
      <c r="I98" s="19">
        <f>G98-D98</f>
        <v/>
      </c>
      <c r="J98" s="19">
        <f>H98-D98</f>
        <v/>
      </c>
      <c r="K98" s="19">
        <f>MAX(0,G98-H97)</f>
        <v/>
      </c>
    </row>
    <row r="99">
      <c r="A99" s="17" t="n">
        <v>94</v>
      </c>
      <c r="B99" s="18" t="n">
        <v>0.3120933612799757</v>
      </c>
      <c r="C99" s="19">
        <f>-LN(1-B99)/$N$2</f>
        <v/>
      </c>
      <c r="D99" s="19">
        <f>D98+C99</f>
        <v/>
      </c>
      <c r="E99" s="20" t="n">
        <v>0.8518397900147073</v>
      </c>
      <c r="F99" s="19">
        <f>-LN(1-E99)/$N$3</f>
        <v/>
      </c>
      <c r="G99" s="19">
        <f>MAX(D99,H98)</f>
        <v/>
      </c>
      <c r="H99" s="19">
        <f>G99+F99</f>
        <v/>
      </c>
      <c r="I99" s="19">
        <f>G99-D99</f>
        <v/>
      </c>
      <c r="J99" s="19">
        <f>H99-D99</f>
        <v/>
      </c>
      <c r="K99" s="19">
        <f>MAX(0,G99-H98)</f>
        <v/>
      </c>
    </row>
    <row r="100">
      <c r="A100" s="17" t="n">
        <v>95</v>
      </c>
      <c r="B100" s="18" t="n">
        <v>0.12603513463569</v>
      </c>
      <c r="C100" s="19">
        <f>-LN(1-B100)/$N$2</f>
        <v/>
      </c>
      <c r="D100" s="19">
        <f>D99+C100</f>
        <v/>
      </c>
      <c r="E100" s="20" t="n">
        <v>0.4844611445783662</v>
      </c>
      <c r="F100" s="19">
        <f>-LN(1-E100)/$N$3</f>
        <v/>
      </c>
      <c r="G100" s="19">
        <f>MAX(D100,H99)</f>
        <v/>
      </c>
      <c r="H100" s="19">
        <f>G100+F100</f>
        <v/>
      </c>
      <c r="I100" s="19">
        <f>G100-D100</f>
        <v/>
      </c>
      <c r="J100" s="19">
        <f>H100-D100</f>
        <v/>
      </c>
      <c r="K100" s="19">
        <f>MAX(0,G100-H99)</f>
        <v/>
      </c>
    </row>
    <row r="101">
      <c r="A101" s="17" t="n">
        <v>96</v>
      </c>
      <c r="B101" s="18" t="n">
        <v>0.2750407689006821</v>
      </c>
      <c r="C101" s="19">
        <f>-LN(1-B101)/$N$2</f>
        <v/>
      </c>
      <c r="D101" s="19">
        <f>D100+C101</f>
        <v/>
      </c>
      <c r="E101" s="20" t="n">
        <v>0.3535263452887347</v>
      </c>
      <c r="F101" s="19">
        <f>-LN(1-E101)/$N$3</f>
        <v/>
      </c>
      <c r="G101" s="19">
        <f>MAX(D101,H100)</f>
        <v/>
      </c>
      <c r="H101" s="19">
        <f>G101+F101</f>
        <v/>
      </c>
      <c r="I101" s="19">
        <f>G101-D101</f>
        <v/>
      </c>
      <c r="J101" s="19">
        <f>H101-D101</f>
        <v/>
      </c>
      <c r="K101" s="19">
        <f>MAX(0,G101-H100)</f>
        <v/>
      </c>
    </row>
    <row r="102">
      <c r="A102" s="17" t="n">
        <v>97</v>
      </c>
      <c r="B102" s="18" t="n">
        <v>0.3880394033986062</v>
      </c>
      <c r="C102" s="19">
        <f>-LN(1-B102)/$N$2</f>
        <v/>
      </c>
      <c r="D102" s="19">
        <f>D101+C102</f>
        <v/>
      </c>
      <c r="E102" s="20" t="n">
        <v>0.9047881687261414</v>
      </c>
      <c r="F102" s="19">
        <f>-LN(1-E102)/$N$3</f>
        <v/>
      </c>
      <c r="G102" s="19">
        <f>MAX(D102,H101)</f>
        <v/>
      </c>
      <c r="H102" s="19">
        <f>G102+F102</f>
        <v/>
      </c>
      <c r="I102" s="19">
        <f>G102-D102</f>
        <v/>
      </c>
      <c r="J102" s="19">
        <f>H102-D102</f>
        <v/>
      </c>
      <c r="K102" s="19">
        <f>MAX(0,G102-H101)</f>
        <v/>
      </c>
    </row>
    <row r="103">
      <c r="A103" s="17" t="n">
        <v>98</v>
      </c>
      <c r="B103" s="18" t="n">
        <v>0.2180019485935847</v>
      </c>
      <c r="C103" s="19">
        <f>-LN(1-B103)/$N$2</f>
        <v/>
      </c>
      <c r="D103" s="19">
        <f>D102+C103</f>
        <v/>
      </c>
      <c r="E103" s="20" t="n">
        <v>0.9906857601936355</v>
      </c>
      <c r="F103" s="19">
        <f>-LN(1-E103)/$N$3</f>
        <v/>
      </c>
      <c r="G103" s="19">
        <f>MAX(D103,H102)</f>
        <v/>
      </c>
      <c r="H103" s="19">
        <f>G103+F103</f>
        <v/>
      </c>
      <c r="I103" s="19">
        <f>G103-D103</f>
        <v/>
      </c>
      <c r="J103" s="19">
        <f>H103-D103</f>
        <v/>
      </c>
      <c r="K103" s="19">
        <f>MAX(0,G103-H102)</f>
        <v/>
      </c>
    </row>
    <row r="104">
      <c r="A104" s="17" t="n">
        <v>99</v>
      </c>
      <c r="B104" s="18" t="n">
        <v>0.1975351710555528</v>
      </c>
      <c r="C104" s="19">
        <f>-LN(1-B104)/$N$2</f>
        <v/>
      </c>
      <c r="D104" s="19">
        <f>D103+C104</f>
        <v/>
      </c>
      <c r="E104" s="20" t="n">
        <v>0.6285367824353619</v>
      </c>
      <c r="F104" s="19">
        <f>-LN(1-E104)/$N$3</f>
        <v/>
      </c>
      <c r="G104" s="19">
        <f>MAX(D104,H103)</f>
        <v/>
      </c>
      <c r="H104" s="19">
        <f>G104+F104</f>
        <v/>
      </c>
      <c r="I104" s="19">
        <f>G104-D104</f>
        <v/>
      </c>
      <c r="J104" s="19">
        <f>H104-D104</f>
        <v/>
      </c>
      <c r="K104" s="19">
        <f>MAX(0,G104-H103)</f>
        <v/>
      </c>
    </row>
    <row r="105">
      <c r="A105" s="17" t="n">
        <v>100</v>
      </c>
      <c r="B105" s="18" t="n">
        <v>0.2263943485707842</v>
      </c>
      <c r="C105" s="19">
        <f>-LN(1-B105)/$N$2</f>
        <v/>
      </c>
      <c r="D105" s="19">
        <f>D104+C105</f>
        <v/>
      </c>
      <c r="E105" s="20" t="n">
        <v>0.5612513358994601</v>
      </c>
      <c r="F105" s="19">
        <f>-LN(1-E105)/$N$3</f>
        <v/>
      </c>
      <c r="G105" s="19">
        <f>MAX(D105,H104)</f>
        <v/>
      </c>
      <c r="H105" s="19">
        <f>G105+F105</f>
        <v/>
      </c>
      <c r="I105" s="19">
        <f>G105-D105</f>
        <v/>
      </c>
      <c r="J105" s="19">
        <f>H105-D105</f>
        <v/>
      </c>
      <c r="K105" s="19">
        <f>MAX(0,G105-H104)</f>
        <v/>
      </c>
    </row>
    <row r="106">
      <c r="A106" s="21" t="inlineStr">
        <is>
          <t>PROM / SUMA</t>
        </is>
      </c>
      <c r="B106" s="17" t="n"/>
      <c r="C106" s="22">
        <f>PROMEDIO(C6:C105)</f>
        <v/>
      </c>
      <c r="D106" s="22">
        <f>H105</f>
        <v/>
      </c>
      <c r="E106" s="17" t="n"/>
      <c r="F106" s="22">
        <f>PROMEDIO(F6:F105)</f>
        <v/>
      </c>
      <c r="G106" s="17" t="n"/>
      <c r="H106" s="23">
        <f>SUMA(F6:F105)</f>
        <v/>
      </c>
      <c r="I106" s="24">
        <f>PROMEDIO(I6:I105)</f>
        <v/>
      </c>
      <c r="J106" s="24">
        <f>PROMEDIO(J6:J105)</f>
        <v/>
      </c>
      <c r="K106" s="23">
        <f>SUMA(K6:K105)</f>
        <v/>
      </c>
    </row>
    <row r="107" ht="45" customHeight="1">
      <c r="A107" s="25" t="inlineStr">
        <is>
          <t>LECTURA: I106 = Wq simulado (≈9,6 min teórico)  •  J106 = W simulado (≈12 min teórico)  •  Utilización ρ ≈ SUMA(F)/H105  •  Compare con hoja ANALITICO (C14 y C15).</t>
        </is>
      </c>
    </row>
    <row r="108"/>
    <row r="109"/>
    <row r="110"/>
  </sheetData>
  <mergeCells count="3">
    <mergeCell ref="A2:K2"/>
    <mergeCell ref="A1:K1"/>
    <mergeCell ref="A107:K11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2" customWidth="1" min="4" max="4"/>
    <col width="30" customWidth="1" min="5" max="5"/>
  </cols>
  <sheetData>
    <row r="1">
      <c r="A1" s="7" t="inlineStr">
        <is>
          <t>COMPARATIVA: ANALÍTICO (exacto) vs. SIMULADO (estimado)</t>
        </is>
      </c>
    </row>
    <row r="3" ht="30" customHeight="1">
      <c r="A3" s="9" t="inlineStr">
        <is>
          <t>Indicador</t>
        </is>
      </c>
      <c r="B3" s="9" t="inlineStr">
        <is>
          <t>Analítico</t>
        </is>
      </c>
      <c r="C3" s="9" t="inlineStr">
        <is>
          <t>Simulado (de SIMULACION)</t>
        </is>
      </c>
      <c r="D3" s="9" t="inlineStr">
        <is>
          <t>Error %</t>
        </is>
      </c>
      <c r="E3" s="9" t="inlineStr">
        <is>
          <t>Interpretación</t>
        </is>
      </c>
    </row>
    <row r="4">
      <c r="A4" s="26" t="inlineStr">
        <is>
          <t>rho ocupacion</t>
        </is>
      </c>
      <c r="B4" s="24">
        <f>ANALITICO!C8</f>
        <v/>
      </c>
      <c r="C4" s="27">
        <f>SIMULACION!H106/SIMULACION!D106</f>
        <v/>
      </c>
      <c r="D4" s="28">
        <f>SI(B4=0,0,ABS(C4-B4)/B4*100)</f>
        <v/>
      </c>
      <c r="E4" s="29" t="inlineStr">
        <is>
          <t>1 - ocio</t>
        </is>
      </c>
    </row>
    <row r="5">
      <c r="A5" s="26" t="inlineStr">
        <is>
          <t>P0 ocio</t>
        </is>
      </c>
      <c r="B5" s="24">
        <f>ANALITICO!C9</f>
        <v/>
      </c>
      <c r="C5" s="27">
        <f>1-C4</f>
        <v/>
      </c>
      <c r="D5" s="28">
        <f>SI(B5=0,0,ABS(C5-B5)/B5*100)</f>
        <v/>
      </c>
      <c r="E5" s="29" t="inlineStr">
        <is>
          <t>inverso de rho</t>
        </is>
      </c>
    </row>
    <row r="6">
      <c r="A6" s="26" t="inlineStr">
        <is>
          <t>L en sistema</t>
        </is>
      </c>
      <c r="B6" s="24">
        <f>ANALITICO!C10</f>
        <v/>
      </c>
      <c r="C6" s="27">
        <f>ANALITICO!C5/60*C8</f>
        <v/>
      </c>
      <c r="D6" s="28">
        <f>SI(B6=0,0,ABS(C6-B6)/B6*100)</f>
        <v/>
      </c>
      <c r="E6" s="29" t="inlineStr">
        <is>
          <t>Little: lam*W</t>
        </is>
      </c>
    </row>
    <row r="7">
      <c r="A7" s="26" t="inlineStr">
        <is>
          <t>Lq en cola</t>
        </is>
      </c>
      <c r="B7" s="24">
        <f>ANALITICO!C11</f>
        <v/>
      </c>
      <c r="C7" s="27">
        <f>ANALITICO!C5/60*C9</f>
        <v/>
      </c>
      <c r="D7" s="28">
        <f>SI(B7=0,0,ABS(C7-B7)/B7*100)</f>
        <v/>
      </c>
      <c r="E7" s="29" t="inlineStr">
        <is>
          <t>Little: lam*Wq</t>
        </is>
      </c>
    </row>
    <row r="8">
      <c r="A8" s="26" t="inlineStr">
        <is>
          <t>W (min)</t>
        </is>
      </c>
      <c r="B8" s="24">
        <f>ANALITICO!C14</f>
        <v/>
      </c>
      <c r="C8" s="27">
        <f>SIMULACION!J106</f>
        <v/>
      </c>
      <c r="D8" s="28">
        <f>SI(B8=0,0,ABS(C8-B8)/B8*100)</f>
        <v/>
      </c>
      <c r="E8" s="29" t="inlineStr">
        <is>
          <t>promedio J</t>
        </is>
      </c>
    </row>
    <row r="9">
      <c r="A9" s="26" t="inlineStr">
        <is>
          <t>Wq (min)</t>
        </is>
      </c>
      <c r="B9" s="24">
        <f>ANALITICO!C15</f>
        <v/>
      </c>
      <c r="C9" s="27">
        <f>SIMULACION!I106</f>
        <v/>
      </c>
      <c r="D9" s="28">
        <f>SI(B9=0,0,ABS(C9-B9)/B9*100)</f>
        <v/>
      </c>
      <c r="E9" s="29" t="inlineStr">
        <is>
          <t>promedio I</t>
        </is>
      </c>
    </row>
    <row r="10" ht="50" customHeight="1">
      <c r="A10" s="25" t="inlineStr">
        <is>
          <t>CONCLUSIÓN AUTOMÁTICA: si el error % es &lt; 15 % con n=100, la simulación VALIDA la teoría y ambos apoyan la misma decisión (1 caja = congestión, evaluar 2 cajas). Si regenera aleatorios con =ALEATORIO() el error oscilará, lo que demuestra la naturaleza aproximada de la simulación.</t>
        </is>
      </c>
    </row>
    <row r="11"/>
    <row r="12"/>
    <row r="13"/>
  </sheetData>
  <mergeCells count="2">
    <mergeCell ref="A1:E1"/>
    <mergeCell ref="A10:E1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7" t="inlineStr">
        <is>
          <t>VENTAJAS Y LIMITACIONES — Matriz para exponer</t>
        </is>
      </c>
    </row>
    <row r="3">
      <c r="A3" s="9" t="inlineStr">
        <is>
          <t>Criterio</t>
        </is>
      </c>
      <c r="B3" s="9" t="inlineStr">
        <is>
          <t>Modelo analítico</t>
        </is>
      </c>
      <c r="C3" s="9" t="inlineStr">
        <is>
          <t>Modelo de simulación</t>
        </is>
      </c>
    </row>
    <row r="4" ht="28" customHeight="1">
      <c r="A4" s="26" t="inlineStr">
        <is>
          <t>Precisión</t>
        </is>
      </c>
      <c r="B4" s="17" t="inlineStr">
        <is>
          <t>Exacto si se cumplen supuestos</t>
        </is>
      </c>
      <c r="C4" s="17" t="inlineStr">
        <is>
          <t>Aproximado; mejora con réplicas</t>
        </is>
      </c>
    </row>
    <row r="5" ht="28" customHeight="1">
      <c r="A5" s="26" t="inlineStr">
        <is>
          <t>Costo / tiempo</t>
        </is>
      </c>
      <c r="B5" s="17" t="inlineStr">
        <is>
          <t>Instantáneo, lápiz o 1 fórmula</t>
        </is>
      </c>
      <c r="C5" s="17" t="inlineStr">
        <is>
          <t>Requiere diseño + corridas</t>
        </is>
      </c>
    </row>
    <row r="6" ht="28" customHeight="1">
      <c r="A6" s="26" t="inlineStr">
        <is>
          <t>Supuestos</t>
        </is>
      </c>
      <c r="B6" s="17" t="inlineStr">
        <is>
          <t>Poisson, exponencial, estable</t>
        </is>
      </c>
      <c r="C6" s="17" t="inlineStr">
        <is>
          <t>Cualquier distribución / horario</t>
        </is>
      </c>
    </row>
    <row r="7" ht="28" customHeight="1">
      <c r="A7" s="26" t="inlineStr">
        <is>
          <t>Flexibilidad</t>
        </is>
      </c>
      <c r="B7" s="17" t="inlineStr">
        <is>
          <t>Solo M/M/1, M/M/c simples</t>
        </is>
      </c>
      <c r="C7" s="17" t="inlineStr">
        <is>
          <t>Redes, picos, prioridades, fallas</t>
        </is>
      </c>
    </row>
    <row r="8" ht="28" customHeight="1">
      <c r="A8" s="26" t="inlineStr">
        <is>
          <t>Horizonte</t>
        </is>
      </c>
      <c r="B8" s="17" t="inlineStr">
        <is>
          <t>Solo largo plazo estable</t>
        </is>
      </c>
      <c r="C8" s="17" t="inlineStr">
        <is>
          <t>Transitorio hora a hora + peor caso</t>
        </is>
      </c>
    </row>
    <row r="9" ht="28" customHeight="1">
      <c r="A9" s="26" t="inlineStr">
        <is>
          <t>Uso ideal</t>
        </is>
      </c>
      <c r="B9" s="17" t="inlineStr">
        <is>
          <t>Respuesta rápida y validación</t>
        </is>
      </c>
      <c r="C9" s="17" t="inlineStr">
        <is>
          <t>Probar 2 cajas, picos, app pedidos</t>
        </is>
      </c>
    </row>
    <row r="10" ht="45" customHeight="1">
      <c r="A10" s="25" t="inlineStr">
        <is>
          <t>REGLA PRÁCTICA: use el analítico para dimensionar rápido y validar; use la simulación para explorar escenarios sin tocar la realidad. En clase diga: “El analítico nos da la respuesta; la simulación nos deja jugar con el futuro.” — Juan Carlos Añez Ahumada y Jorge Mejía.</t>
        </is>
      </c>
    </row>
    <row r="11"/>
    <row r="12"/>
  </sheetData>
  <mergeCells count="2">
    <mergeCell ref="A1:C1"/>
    <mergeCell ref="A10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2026-09-03T17:04:52Z</dcterms:created>
  <dcterms:modified xmlns:dcterms="http://purl.org/dc/terms/" xmlns:xsi="http://www.w3.org/2001/XMLSchema-instance" xsi:type="dcterms:W3CDTF">2026-09-03T17:04:52Z</dcterms:modified>
</cp:coreProperties>
</file>